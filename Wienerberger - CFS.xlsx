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"/>
    </mc:Choice>
  </mc:AlternateContent>
  <xr:revisionPtr revIDLastSave="0" documentId="13_ncr:1_{FAE1F924-175C-4142-8995-C7B463F03DAE}" xr6:coauthVersionLast="47" xr6:coauthVersionMax="47" xr10:uidLastSave="{00000000-0000-0000-0000-000000000000}"/>
  <bookViews>
    <workbookView xWindow="-120" yWindow="-120" windowWidth="29040" windowHeight="15840" xr2:uid="{9538FCAA-6898-4463-8EF4-F02725EEBB31}"/>
  </bookViews>
  <sheets>
    <sheet name="Weinerberger - CF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7" i="1" l="1"/>
  <c r="I55" i="1"/>
  <c r="I46" i="1"/>
  <c r="I67" i="1"/>
  <c r="I154" i="1"/>
  <c r="I102" i="1"/>
  <c r="J102" i="1" s="1"/>
  <c r="K102" i="1" s="1"/>
  <c r="L102" i="1" s="1"/>
  <c r="M102" i="1" s="1"/>
  <c r="H97" i="1"/>
  <c r="J95" i="1"/>
  <c r="K95" i="1" s="1"/>
  <c r="I95" i="1"/>
  <c r="I85" i="1"/>
  <c r="J85" i="1" s="1"/>
  <c r="K85" i="1" s="1"/>
  <c r="L85" i="1" s="1"/>
  <c r="M85" i="1" s="1"/>
  <c r="I86" i="1"/>
  <c r="J86" i="1" s="1"/>
  <c r="K86" i="1" s="1"/>
  <c r="L86" i="1" s="1"/>
  <c r="M86" i="1" s="1"/>
  <c r="I34" i="1"/>
  <c r="I68" i="1" s="1"/>
  <c r="I136" i="1" s="1"/>
  <c r="I140" i="1" s="1"/>
  <c r="E10" i="1"/>
  <c r="F10" i="1"/>
  <c r="G10" i="1"/>
  <c r="H10" i="1"/>
  <c r="D10" i="1"/>
  <c r="D24" i="1"/>
  <c r="D23" i="1"/>
  <c r="E12" i="1"/>
  <c r="E27" i="1" s="1"/>
  <c r="D12" i="1"/>
  <c r="D27" i="1" s="1"/>
  <c r="E20" i="1"/>
  <c r="F20" i="1"/>
  <c r="G20" i="1"/>
  <c r="H20" i="1"/>
  <c r="D20" i="1"/>
  <c r="E19" i="1"/>
  <c r="F19" i="1"/>
  <c r="G19" i="1"/>
  <c r="H19" i="1"/>
  <c r="D19" i="1"/>
  <c r="E11" i="1"/>
  <c r="F11" i="1"/>
  <c r="G11" i="1"/>
  <c r="H11" i="1"/>
  <c r="D11" i="1"/>
  <c r="E9" i="1"/>
  <c r="F9" i="1"/>
  <c r="G9" i="1"/>
  <c r="H9" i="1"/>
  <c r="D9" i="1"/>
  <c r="E8" i="1"/>
  <c r="F8" i="1"/>
  <c r="G8" i="1"/>
  <c r="H8" i="1"/>
  <c r="D8" i="1"/>
  <c r="E7" i="1"/>
  <c r="F7" i="1"/>
  <c r="G7" i="1"/>
  <c r="H7" i="1"/>
  <c r="D7" i="1"/>
  <c r="F6" i="1"/>
  <c r="G6" i="1"/>
  <c r="H6" i="1"/>
  <c r="E6" i="1"/>
  <c r="E67" i="1"/>
  <c r="F67" i="1"/>
  <c r="H67" i="1"/>
  <c r="G67" i="1"/>
  <c r="D69" i="1"/>
  <c r="D68" i="1"/>
  <c r="D67" i="1"/>
  <c r="E60" i="1"/>
  <c r="E16" i="1" s="1"/>
  <c r="F60" i="1"/>
  <c r="F16" i="1" s="1"/>
  <c r="G60" i="1"/>
  <c r="G16" i="1" s="1"/>
  <c r="H60" i="1"/>
  <c r="H16" i="1" s="1"/>
  <c r="E61" i="1"/>
  <c r="E17" i="1" s="1"/>
  <c r="F61" i="1"/>
  <c r="F17" i="1" s="1"/>
  <c r="G61" i="1"/>
  <c r="G17" i="1" s="1"/>
  <c r="H61" i="1"/>
  <c r="H17" i="1" s="1"/>
  <c r="E62" i="1"/>
  <c r="E18" i="1" s="1"/>
  <c r="F62" i="1"/>
  <c r="F18" i="1" s="1"/>
  <c r="G62" i="1"/>
  <c r="G18" i="1" s="1"/>
  <c r="H62" i="1"/>
  <c r="H18" i="1" s="1"/>
  <c r="D62" i="1"/>
  <c r="D18" i="1" s="1"/>
  <c r="D61" i="1"/>
  <c r="D17" i="1" s="1"/>
  <c r="D60" i="1"/>
  <c r="D16" i="1" s="1"/>
  <c r="F153" i="1"/>
  <c r="E153" i="1"/>
  <c r="F148" i="1"/>
  <c r="E148" i="1"/>
  <c r="F147" i="1"/>
  <c r="E147" i="1"/>
  <c r="F139" i="1"/>
  <c r="E139" i="1"/>
  <c r="D139" i="1"/>
  <c r="D140" i="1" s="1"/>
  <c r="F138" i="1"/>
  <c r="E138" i="1"/>
  <c r="F137" i="1"/>
  <c r="E137" i="1"/>
  <c r="F136" i="1"/>
  <c r="F68" i="1" s="1"/>
  <c r="E136" i="1"/>
  <c r="E68" i="1" s="1"/>
  <c r="F131" i="1"/>
  <c r="E131" i="1"/>
  <c r="F130" i="1"/>
  <c r="E130" i="1"/>
  <c r="F129" i="1"/>
  <c r="E129" i="1"/>
  <c r="F128" i="1"/>
  <c r="E128" i="1"/>
  <c r="F124" i="1"/>
  <c r="E124" i="1"/>
  <c r="D124" i="1"/>
  <c r="F123" i="1"/>
  <c r="E123" i="1"/>
  <c r="D123" i="1"/>
  <c r="F122" i="1"/>
  <c r="F69" i="1" s="1"/>
  <c r="E122" i="1"/>
  <c r="E69" i="1" s="1"/>
  <c r="F121" i="1"/>
  <c r="E121" i="1"/>
  <c r="H153" i="1"/>
  <c r="H149" i="1"/>
  <c r="H148" i="1"/>
  <c r="H147" i="1"/>
  <c r="H145" i="1"/>
  <c r="H144" i="1"/>
  <c r="H139" i="1"/>
  <c r="H138" i="1"/>
  <c r="H136" i="1"/>
  <c r="H68" i="1" s="1"/>
  <c r="H131" i="1"/>
  <c r="H130" i="1"/>
  <c r="H129" i="1"/>
  <c r="H128" i="1"/>
  <c r="H123" i="1"/>
  <c r="H124" i="1"/>
  <c r="H122" i="1"/>
  <c r="H69" i="1" s="1"/>
  <c r="H121" i="1"/>
  <c r="G148" i="1"/>
  <c r="G147" i="1"/>
  <c r="G145" i="1"/>
  <c r="G144" i="1"/>
  <c r="G138" i="1"/>
  <c r="G137" i="1"/>
  <c r="G136" i="1"/>
  <c r="G68" i="1" s="1"/>
  <c r="G130" i="1"/>
  <c r="G129" i="1"/>
  <c r="G128" i="1"/>
  <c r="G124" i="1"/>
  <c r="G123" i="1"/>
  <c r="G122" i="1"/>
  <c r="G69" i="1" s="1"/>
  <c r="G121" i="1"/>
  <c r="F110" i="1"/>
  <c r="E110" i="1"/>
  <c r="D110" i="1"/>
  <c r="F109" i="1"/>
  <c r="F108" i="1"/>
  <c r="E108" i="1"/>
  <c r="D108" i="1"/>
  <c r="F102" i="1"/>
  <c r="E102" i="1"/>
  <c r="E103" i="1" s="1"/>
  <c r="D102" i="1"/>
  <c r="D103" i="1" s="1"/>
  <c r="F101" i="1"/>
  <c r="F100" i="1"/>
  <c r="F12" i="1" s="1"/>
  <c r="F27" i="1" s="1"/>
  <c r="H110" i="1"/>
  <c r="I110" i="1" s="1"/>
  <c r="J110" i="1" s="1"/>
  <c r="K110" i="1" s="1"/>
  <c r="L110" i="1" s="1"/>
  <c r="M110" i="1" s="1"/>
  <c r="H109" i="1"/>
  <c r="H108" i="1"/>
  <c r="I108" i="1" s="1"/>
  <c r="J108" i="1" s="1"/>
  <c r="K108" i="1" s="1"/>
  <c r="L108" i="1" s="1"/>
  <c r="M108" i="1" s="1"/>
  <c r="H101" i="1"/>
  <c r="I101" i="1" s="1"/>
  <c r="J101" i="1" s="1"/>
  <c r="K101" i="1" s="1"/>
  <c r="L101" i="1" s="1"/>
  <c r="M101" i="1" s="1"/>
  <c r="H100" i="1"/>
  <c r="H12" i="1" s="1"/>
  <c r="H27" i="1" s="1"/>
  <c r="G110" i="1"/>
  <c r="G102" i="1"/>
  <c r="G101" i="1"/>
  <c r="G100" i="1"/>
  <c r="G12" i="1" s="1"/>
  <c r="G27" i="1" s="1"/>
  <c r="F97" i="1"/>
  <c r="G97" i="1"/>
  <c r="H81" i="1"/>
  <c r="F87" i="1"/>
  <c r="G87" i="1"/>
  <c r="H87" i="1"/>
  <c r="E81" i="1"/>
  <c r="E87" i="1"/>
  <c r="E97" i="1"/>
  <c r="E118" i="1"/>
  <c r="F118" i="1" s="1"/>
  <c r="G118" i="1" s="1"/>
  <c r="H118" i="1" s="1"/>
  <c r="I118" i="1" s="1"/>
  <c r="J118" i="1" s="1"/>
  <c r="K118" i="1" s="1"/>
  <c r="L118" i="1" s="1"/>
  <c r="M118" i="1" s="1"/>
  <c r="D97" i="1"/>
  <c r="D87" i="1"/>
  <c r="D81" i="1"/>
  <c r="E73" i="1"/>
  <c r="F73" i="1" s="1"/>
  <c r="G73" i="1" s="1"/>
  <c r="H73" i="1" s="1"/>
  <c r="I73" i="1" s="1"/>
  <c r="J73" i="1" s="1"/>
  <c r="K73" i="1" s="1"/>
  <c r="L73" i="1" s="1"/>
  <c r="M73" i="1" s="1"/>
  <c r="E58" i="1"/>
  <c r="F58" i="1" s="1"/>
  <c r="G58" i="1" s="1"/>
  <c r="H58" i="1" s="1"/>
  <c r="I58" i="1" s="1"/>
  <c r="J58" i="1" s="1"/>
  <c r="K58" i="1" s="1"/>
  <c r="L58" i="1" s="1"/>
  <c r="M58" i="1" s="1"/>
  <c r="D37" i="1"/>
  <c r="D44" i="1" s="1"/>
  <c r="D49" i="1" s="1"/>
  <c r="D53" i="1" s="1"/>
  <c r="D55" i="1" s="1"/>
  <c r="D28" i="1" s="1"/>
  <c r="E37" i="1"/>
  <c r="E44" i="1" s="1"/>
  <c r="E49" i="1" s="1"/>
  <c r="E53" i="1" s="1"/>
  <c r="F37" i="1"/>
  <c r="F44" i="1" s="1"/>
  <c r="F49" i="1" s="1"/>
  <c r="F53" i="1" s="1"/>
  <c r="F55" i="1" s="1"/>
  <c r="G37" i="1"/>
  <c r="G44" i="1" s="1"/>
  <c r="H37" i="1"/>
  <c r="H44" i="1" s="1"/>
  <c r="E4" i="1"/>
  <c r="F4" i="1" s="1"/>
  <c r="G4" i="1" s="1"/>
  <c r="H4" i="1" s="1"/>
  <c r="I4" i="1" s="1"/>
  <c r="J4" i="1" s="1"/>
  <c r="K4" i="1" s="1"/>
  <c r="L4" i="1" s="1"/>
  <c r="M4" i="1" s="1"/>
  <c r="E33" i="1"/>
  <c r="F33" i="1" s="1"/>
  <c r="G33" i="1" s="1"/>
  <c r="H33" i="1" s="1"/>
  <c r="I33" i="1" s="1"/>
  <c r="J33" i="1" s="1"/>
  <c r="K33" i="1" s="1"/>
  <c r="L33" i="1" s="1"/>
  <c r="M33" i="1" s="1"/>
  <c r="J34" i="1" l="1"/>
  <c r="I96" i="1"/>
  <c r="I41" i="1"/>
  <c r="I43" i="1"/>
  <c r="I47" i="1"/>
  <c r="I39" i="1"/>
  <c r="I40" i="1"/>
  <c r="I80" i="1"/>
  <c r="I144" i="1"/>
  <c r="I145" i="1" s="1"/>
  <c r="L95" i="1"/>
  <c r="I16" i="1"/>
  <c r="I17" i="1"/>
  <c r="I18" i="1"/>
  <c r="I7" i="1"/>
  <c r="J7" i="1" s="1"/>
  <c r="K7" i="1" s="1"/>
  <c r="E24" i="1"/>
  <c r="F28" i="1"/>
  <c r="E13" i="1"/>
  <c r="H24" i="1"/>
  <c r="F24" i="1"/>
  <c r="D13" i="1"/>
  <c r="G23" i="1"/>
  <c r="F23" i="1"/>
  <c r="H23" i="1"/>
  <c r="E23" i="1"/>
  <c r="F13" i="1"/>
  <c r="G24" i="1"/>
  <c r="D126" i="1"/>
  <c r="D132" i="1" s="1"/>
  <c r="F150" i="1"/>
  <c r="G70" i="1"/>
  <c r="H70" i="1"/>
  <c r="E126" i="1"/>
  <c r="E132" i="1" s="1"/>
  <c r="E150" i="1"/>
  <c r="D70" i="1"/>
  <c r="H150" i="1"/>
  <c r="F70" i="1"/>
  <c r="H126" i="1"/>
  <c r="H132" i="1" s="1"/>
  <c r="D63" i="1"/>
  <c r="E70" i="1"/>
  <c r="G150" i="1"/>
  <c r="H140" i="1"/>
  <c r="G63" i="1"/>
  <c r="F63" i="1"/>
  <c r="E63" i="1"/>
  <c r="H63" i="1"/>
  <c r="G140" i="1"/>
  <c r="F140" i="1"/>
  <c r="F126" i="1"/>
  <c r="F132" i="1" s="1"/>
  <c r="E140" i="1"/>
  <c r="G126" i="1"/>
  <c r="G132" i="1" s="1"/>
  <c r="D150" i="1"/>
  <c r="H103" i="1"/>
  <c r="H105" i="1" s="1"/>
  <c r="D111" i="1"/>
  <c r="E111" i="1"/>
  <c r="F103" i="1"/>
  <c r="F105" i="1" s="1"/>
  <c r="D105" i="1"/>
  <c r="D89" i="1"/>
  <c r="H111" i="1"/>
  <c r="H89" i="1"/>
  <c r="G111" i="1"/>
  <c r="G103" i="1"/>
  <c r="G105" i="1" s="1"/>
  <c r="G81" i="1"/>
  <c r="G89" i="1" s="1"/>
  <c r="F111" i="1"/>
  <c r="F81" i="1"/>
  <c r="F89" i="1" s="1"/>
  <c r="E89" i="1"/>
  <c r="E105" i="1"/>
  <c r="G49" i="1"/>
  <c r="E55" i="1"/>
  <c r="E28" i="1" s="1"/>
  <c r="H49" i="1"/>
  <c r="J17" i="1" l="1"/>
  <c r="J61" i="1" s="1"/>
  <c r="J79" i="1" s="1"/>
  <c r="I61" i="1"/>
  <c r="I79" i="1" s="1"/>
  <c r="I100" i="1"/>
  <c r="I131" i="1"/>
  <c r="J16" i="1"/>
  <c r="I60" i="1"/>
  <c r="I36" i="1"/>
  <c r="I37" i="1" s="1"/>
  <c r="I44" i="1" s="1"/>
  <c r="I49" i="1" s="1"/>
  <c r="I121" i="1" s="1"/>
  <c r="J18" i="1"/>
  <c r="I62" i="1"/>
  <c r="I94" i="1" s="1"/>
  <c r="K34" i="1"/>
  <c r="J40" i="1"/>
  <c r="J39" i="1"/>
  <c r="J36" i="1"/>
  <c r="J68" i="1"/>
  <c r="J136" i="1" s="1"/>
  <c r="J140" i="1" s="1"/>
  <c r="J37" i="1"/>
  <c r="J96" i="1"/>
  <c r="J80" i="1"/>
  <c r="J131" i="1" s="1"/>
  <c r="J43" i="1"/>
  <c r="J41" i="1"/>
  <c r="M95" i="1"/>
  <c r="K17" i="1"/>
  <c r="L7" i="1"/>
  <c r="M7" i="1" s="1"/>
  <c r="I24" i="1"/>
  <c r="I69" i="1" s="1"/>
  <c r="G53" i="1"/>
  <c r="G55" i="1" s="1"/>
  <c r="G28" i="1" s="1"/>
  <c r="G13" i="1"/>
  <c r="H53" i="1"/>
  <c r="H55" i="1" s="1"/>
  <c r="H28" i="1" s="1"/>
  <c r="H13" i="1"/>
  <c r="D152" i="1"/>
  <c r="D155" i="1" s="1"/>
  <c r="E154" i="1" s="1"/>
  <c r="H152" i="1"/>
  <c r="G152" i="1"/>
  <c r="H64" i="1"/>
  <c r="E64" i="1"/>
  <c r="F64" i="1"/>
  <c r="G64" i="1"/>
  <c r="E152" i="1"/>
  <c r="F152" i="1"/>
  <c r="D113" i="1"/>
  <c r="D115" i="1" s="1"/>
  <c r="E113" i="1"/>
  <c r="E115" i="1" s="1"/>
  <c r="H113" i="1"/>
  <c r="H115" i="1" s="1"/>
  <c r="F113" i="1"/>
  <c r="F115" i="1" s="1"/>
  <c r="G113" i="1"/>
  <c r="G115" i="1" s="1"/>
  <c r="I97" i="1" l="1"/>
  <c r="I130" i="1"/>
  <c r="K18" i="1"/>
  <c r="K62" i="1" s="1"/>
  <c r="K94" i="1" s="1"/>
  <c r="J62" i="1"/>
  <c r="J94" i="1" s="1"/>
  <c r="I78" i="1"/>
  <c r="I63" i="1"/>
  <c r="I64" i="1" s="1"/>
  <c r="K40" i="1"/>
  <c r="K39" i="1"/>
  <c r="K68" i="1"/>
  <c r="K136" i="1" s="1"/>
  <c r="K140" i="1" s="1"/>
  <c r="K36" i="1"/>
  <c r="K37" i="1" s="1"/>
  <c r="K96" i="1"/>
  <c r="K131" i="1" s="1"/>
  <c r="K43" i="1"/>
  <c r="K41" i="1"/>
  <c r="K80" i="1"/>
  <c r="L34" i="1"/>
  <c r="K16" i="1"/>
  <c r="J60" i="1"/>
  <c r="J144" i="1"/>
  <c r="J145" i="1" s="1"/>
  <c r="J47" i="1"/>
  <c r="I103" i="1"/>
  <c r="I105" i="1" s="1"/>
  <c r="J100" i="1"/>
  <c r="I70" i="1"/>
  <c r="I122" i="1"/>
  <c r="L17" i="1"/>
  <c r="K61" i="1"/>
  <c r="K79" i="1" s="1"/>
  <c r="J44" i="1"/>
  <c r="I51" i="1"/>
  <c r="I53" i="1" s="1"/>
  <c r="I128" i="1"/>
  <c r="J128" i="1"/>
  <c r="L18" i="1"/>
  <c r="K128" i="1"/>
  <c r="J24" i="1"/>
  <c r="E155" i="1"/>
  <c r="F154" i="1" s="1"/>
  <c r="K44" i="1" l="1"/>
  <c r="J67" i="1"/>
  <c r="J69" i="1" s="1"/>
  <c r="J122" i="1" s="1"/>
  <c r="I84" i="1"/>
  <c r="I87" i="1" s="1"/>
  <c r="K144" i="1"/>
  <c r="K145" i="1" s="1"/>
  <c r="J103" i="1"/>
  <c r="J105" i="1" s="1"/>
  <c r="K100" i="1"/>
  <c r="K47" i="1"/>
  <c r="M18" i="1"/>
  <c r="L62" i="1"/>
  <c r="L94" i="1" s="1"/>
  <c r="J63" i="1"/>
  <c r="J64" i="1" s="1"/>
  <c r="J78" i="1"/>
  <c r="L16" i="1"/>
  <c r="K60" i="1"/>
  <c r="J129" i="1"/>
  <c r="I129" i="1"/>
  <c r="L80" i="1"/>
  <c r="L40" i="1"/>
  <c r="L39" i="1"/>
  <c r="L68" i="1"/>
  <c r="L136" i="1" s="1"/>
  <c r="L140" i="1" s="1"/>
  <c r="L36" i="1"/>
  <c r="L96" i="1"/>
  <c r="L43" i="1"/>
  <c r="L41" i="1"/>
  <c r="M34" i="1"/>
  <c r="L37" i="1"/>
  <c r="J130" i="1"/>
  <c r="J97" i="1"/>
  <c r="K130" i="1"/>
  <c r="K97" i="1"/>
  <c r="I124" i="1"/>
  <c r="I126" i="1" s="1"/>
  <c r="I132" i="1" s="1"/>
  <c r="M17" i="1"/>
  <c r="L61" i="1"/>
  <c r="L79" i="1" s="1"/>
  <c r="L131" i="1"/>
  <c r="I109" i="1"/>
  <c r="I111" i="1" s="1"/>
  <c r="I113" i="1" s="1"/>
  <c r="I147" i="1"/>
  <c r="I150" i="1" s="1"/>
  <c r="I152" i="1" s="1"/>
  <c r="I155" i="1" s="1"/>
  <c r="K24" i="1"/>
  <c r="F155" i="1"/>
  <c r="L44" i="1" l="1"/>
  <c r="K63" i="1"/>
  <c r="K64" i="1" s="1"/>
  <c r="K78" i="1"/>
  <c r="J70" i="1"/>
  <c r="K67" i="1" s="1"/>
  <c r="K129" i="1"/>
  <c r="L130" i="1"/>
  <c r="L97" i="1"/>
  <c r="M16" i="1"/>
  <c r="M60" i="1" s="1"/>
  <c r="L60" i="1"/>
  <c r="M61" i="1"/>
  <c r="M79" i="1" s="1"/>
  <c r="M62" i="1"/>
  <c r="M94" i="1" s="1"/>
  <c r="L144" i="1"/>
  <c r="L145" i="1" s="1"/>
  <c r="L100" i="1" s="1"/>
  <c r="K103" i="1"/>
  <c r="K105" i="1" s="1"/>
  <c r="L47" i="1"/>
  <c r="M41" i="1"/>
  <c r="M80" i="1"/>
  <c r="M40" i="1"/>
  <c r="M39" i="1"/>
  <c r="M68" i="1"/>
  <c r="M136" i="1" s="1"/>
  <c r="M140" i="1" s="1"/>
  <c r="M43" i="1"/>
  <c r="M36" i="1"/>
  <c r="M37" i="1" s="1"/>
  <c r="M44" i="1" s="1"/>
  <c r="M96" i="1"/>
  <c r="M131" i="1"/>
  <c r="M128" i="1"/>
  <c r="L128" i="1"/>
  <c r="I77" i="1"/>
  <c r="J46" i="1" s="1"/>
  <c r="J154" i="1"/>
  <c r="J84" i="1"/>
  <c r="J87" i="1" s="1"/>
  <c r="L24" i="1"/>
  <c r="M24" i="1" s="1"/>
  <c r="G154" i="1"/>
  <c r="G155" i="1" s="1"/>
  <c r="M144" i="1" l="1"/>
  <c r="M145" i="1" s="1"/>
  <c r="M100" i="1" s="1"/>
  <c r="M103" i="1" s="1"/>
  <c r="M105" i="1" s="1"/>
  <c r="M47" i="1"/>
  <c r="L103" i="1"/>
  <c r="L105" i="1" s="1"/>
  <c r="M130" i="1"/>
  <c r="M97" i="1"/>
  <c r="L63" i="1"/>
  <c r="L64" i="1" s="1"/>
  <c r="L78" i="1"/>
  <c r="M78" i="1"/>
  <c r="M63" i="1"/>
  <c r="M64" i="1" s="1"/>
  <c r="L129" i="1"/>
  <c r="J49" i="1"/>
  <c r="I81" i="1"/>
  <c r="I89" i="1" s="1"/>
  <c r="I115" i="1" s="1"/>
  <c r="K69" i="1"/>
  <c r="K122" i="1" s="1"/>
  <c r="H154" i="1"/>
  <c r="H155" i="1" s="1"/>
  <c r="M129" i="1" l="1"/>
  <c r="J121" i="1"/>
  <c r="J51" i="1"/>
  <c r="J124" i="1" s="1"/>
  <c r="K70" i="1"/>
  <c r="L67" i="1" s="1"/>
  <c r="J53" i="1" l="1"/>
  <c r="J55" i="1" s="1"/>
  <c r="J109" i="1" s="1"/>
  <c r="J111" i="1" s="1"/>
  <c r="J113" i="1" s="1"/>
  <c r="J126" i="1"/>
  <c r="J132" i="1" s="1"/>
  <c r="L69" i="1"/>
  <c r="K84" i="1"/>
  <c r="K87" i="1" s="1"/>
  <c r="J147" i="1" l="1"/>
  <c r="J150" i="1" s="1"/>
  <c r="J152" i="1" s="1"/>
  <c r="J155" i="1" s="1"/>
  <c r="L70" i="1"/>
  <c r="L122" i="1"/>
  <c r="K154" i="1" l="1"/>
  <c r="J77" i="1"/>
  <c r="K46" i="1" s="1"/>
  <c r="M67" i="1"/>
  <c r="L84" i="1"/>
  <c r="L87" i="1" s="1"/>
  <c r="J81" i="1" l="1"/>
  <c r="J89" i="1" s="1"/>
  <c r="J115" i="1" s="1"/>
  <c r="K49" i="1"/>
  <c r="M69" i="1"/>
  <c r="M122" i="1" s="1"/>
  <c r="M70" i="1"/>
  <c r="M84" i="1" s="1"/>
  <c r="M87" i="1" s="1"/>
  <c r="K51" i="1" l="1"/>
  <c r="K124" i="1" s="1"/>
  <c r="K121" i="1"/>
  <c r="K53" i="1" l="1"/>
  <c r="K55" i="1" s="1"/>
  <c r="K147" i="1" s="1"/>
  <c r="K150" i="1" s="1"/>
  <c r="K126" i="1"/>
  <c r="K132" i="1" s="1"/>
  <c r="K109" i="1" l="1"/>
  <c r="K111" i="1" s="1"/>
  <c r="K113" i="1" s="1"/>
  <c r="K152" i="1"/>
  <c r="K155" i="1" s="1"/>
  <c r="L154" i="1" l="1"/>
  <c r="K81" i="1" l="1"/>
  <c r="K89" i="1" s="1"/>
  <c r="K115" i="1" s="1"/>
  <c r="L46" i="1"/>
  <c r="L49" i="1" s="1"/>
  <c r="L121" i="1" l="1"/>
  <c r="L51" i="1"/>
  <c r="L124" i="1" s="1"/>
  <c r="L53" i="1" l="1"/>
  <c r="L55" i="1" s="1"/>
  <c r="L109" i="1"/>
  <c r="L111" i="1" s="1"/>
  <c r="L113" i="1" s="1"/>
  <c r="L147" i="1"/>
  <c r="L150" i="1" s="1"/>
  <c r="L126" i="1"/>
  <c r="L132" i="1" s="1"/>
  <c r="L152" i="1" l="1"/>
  <c r="L155" i="1" s="1"/>
  <c r="L77" i="1" l="1"/>
  <c r="M154" i="1"/>
  <c r="L81" i="1" l="1"/>
  <c r="L89" i="1" s="1"/>
  <c r="L115" i="1" s="1"/>
  <c r="M46" i="1"/>
  <c r="M49" i="1" s="1"/>
  <c r="M121" i="1" l="1"/>
  <c r="M51" i="1"/>
  <c r="M124" i="1" s="1"/>
  <c r="M53" i="1" l="1"/>
  <c r="M55" i="1" s="1"/>
  <c r="M126" i="1"/>
  <c r="M132" i="1" s="1"/>
  <c r="M147" i="1" l="1"/>
  <c r="M150" i="1" s="1"/>
  <c r="M152" i="1" s="1"/>
  <c r="M155" i="1" s="1"/>
  <c r="M77" i="1" s="1"/>
  <c r="M81" i="1" s="1"/>
  <c r="M89" i="1" s="1"/>
  <c r="M109" i="1"/>
  <c r="M111" i="1" s="1"/>
  <c r="M113" i="1" s="1"/>
  <c r="M115" i="1" l="1"/>
</calcChain>
</file>

<file path=xl/sharedStrings.xml><?xml version="1.0" encoding="utf-8"?>
<sst xmlns="http://schemas.openxmlformats.org/spreadsheetml/2006/main" count="165" uniqueCount="120">
  <si>
    <t>x</t>
  </si>
  <si>
    <t>Income Statement</t>
  </si>
  <si>
    <t>Revenue:</t>
  </si>
  <si>
    <t>(-) Cost of Goods Sold</t>
  </si>
  <si>
    <t>Gross Profit:</t>
  </si>
  <si>
    <t>(+) Other Operating Income</t>
  </si>
  <si>
    <t>(-) Selling Expenses</t>
  </si>
  <si>
    <t>(-) Administrative Expenses</t>
  </si>
  <si>
    <t>(-) Impairment of Assets</t>
  </si>
  <si>
    <t>(-) Other Operating Expenses</t>
  </si>
  <si>
    <t>(+) Interest Income</t>
  </si>
  <si>
    <t>(-) Interest Expense</t>
  </si>
  <si>
    <t>Profit/Loss before Tax (EBT)</t>
  </si>
  <si>
    <t>(-) Income Taxes</t>
  </si>
  <si>
    <t>Net Income</t>
  </si>
  <si>
    <t>Operating profit/loss (EBIT)</t>
  </si>
  <si>
    <t>Net Income to Parent</t>
  </si>
  <si>
    <t>Cash Flow Statement</t>
  </si>
  <si>
    <t>(+/-) Other</t>
  </si>
  <si>
    <t>(EURm)</t>
  </si>
  <si>
    <t>(-) NCI &amp; Hybrid Capital Holders</t>
  </si>
  <si>
    <t>Supporting Schedules</t>
  </si>
  <si>
    <t>Working Capital</t>
  </si>
  <si>
    <t>Change in NWC</t>
  </si>
  <si>
    <t>PP&amp;E Schedule</t>
  </si>
  <si>
    <t>(+) CapEx</t>
  </si>
  <si>
    <t>(-) D&amp;A</t>
  </si>
  <si>
    <t>Ending PP&amp;E</t>
  </si>
  <si>
    <t>Interest Rate</t>
  </si>
  <si>
    <t>Balance Sheet</t>
  </si>
  <si>
    <t>Inventories</t>
  </si>
  <si>
    <t>(+) Inventories</t>
  </si>
  <si>
    <t>(-) Payables</t>
  </si>
  <si>
    <t>Net Working Capital (NWC)</t>
  </si>
  <si>
    <t>Receivables</t>
  </si>
  <si>
    <t>Total Current Assets</t>
  </si>
  <si>
    <t>Total Non-Current Assets</t>
  </si>
  <si>
    <t>Assets:</t>
  </si>
  <si>
    <t>Cash &amp; Cash Equivalents</t>
  </si>
  <si>
    <t>Trade Receivables</t>
  </si>
  <si>
    <t>Other Current Assets</t>
  </si>
  <si>
    <t>PP&amp;E</t>
  </si>
  <si>
    <t>Intangibles &amp; Goodwill</t>
  </si>
  <si>
    <t>Other Non-Current Assets</t>
  </si>
  <si>
    <t>Current Assets</t>
  </si>
  <si>
    <t>Non-Current Assets</t>
  </si>
  <si>
    <t>Liabilities + Equity:</t>
  </si>
  <si>
    <t>Current Liabilities</t>
  </si>
  <si>
    <t>Trade Payables</t>
  </si>
  <si>
    <t>Short-Term Debt</t>
  </si>
  <si>
    <t>Other Current Liabilities</t>
  </si>
  <si>
    <t>Total Current Liabilities</t>
  </si>
  <si>
    <t>Non-Current Liabilities</t>
  </si>
  <si>
    <t>Long-Term Debt</t>
  </si>
  <si>
    <t>Other Non-Current Liabilities</t>
  </si>
  <si>
    <t>Total Non-Current Liabilities</t>
  </si>
  <si>
    <t>Total Liabilities:</t>
  </si>
  <si>
    <t>Equity</t>
  </si>
  <si>
    <t>Share Capital &amp; Premium</t>
  </si>
  <si>
    <t>Retained Earnings</t>
  </si>
  <si>
    <t>Total Equity:</t>
  </si>
  <si>
    <t>TOTAL LIABILITIES + EQUITY</t>
  </si>
  <si>
    <t>Balance Check:</t>
  </si>
  <si>
    <t>Deferred Tax Liabilities</t>
  </si>
  <si>
    <t>Other Equity</t>
  </si>
  <si>
    <t>Cash Flow from Operating Activites</t>
  </si>
  <si>
    <t>Profit/Loss Before Tax</t>
  </si>
  <si>
    <t>(+) D&amp;A</t>
  </si>
  <si>
    <t>(+/-) Other Non-Cash Adjustments</t>
  </si>
  <si>
    <t>(-) Interest &amp; Taxes Paid</t>
  </si>
  <si>
    <t xml:space="preserve">(+/-) Change in Inventories </t>
  </si>
  <si>
    <t>(+/-) Change in Trade Receivables</t>
  </si>
  <si>
    <t>(+/-) Change in Trade Payables</t>
  </si>
  <si>
    <t>(+/-) Other Operating Assets &amp; Liabilities</t>
  </si>
  <si>
    <t>Cash Flow from Investing Activities</t>
  </si>
  <si>
    <t>Gross Cash Flow</t>
  </si>
  <si>
    <t>(-) CapEx</t>
  </si>
  <si>
    <t xml:space="preserve">(+/-) Other Investing Activities </t>
  </si>
  <si>
    <t>Total Cash Flow from Operating Activities</t>
  </si>
  <si>
    <t>Total Cash Flow from Investing Activities</t>
  </si>
  <si>
    <t>Cash Flow from Financing Activities</t>
  </si>
  <si>
    <t xml:space="preserve">(-) Dividends Paid </t>
  </si>
  <si>
    <t xml:space="preserve">(+/-) Share Issuance / Buybacks  </t>
  </si>
  <si>
    <t xml:space="preserve">(+/-) Other Financing Activities  </t>
  </si>
  <si>
    <t>Total Cash Flow from Financing Activities</t>
  </si>
  <si>
    <t>Wienerberger - Consolidated Financial Statements</t>
  </si>
  <si>
    <t>TOTAL ASSETS:</t>
  </si>
  <si>
    <t>Net Change in Cash</t>
  </si>
  <si>
    <t>(+/-) FX Effect on Cash</t>
  </si>
  <si>
    <t>Beginning Cash</t>
  </si>
  <si>
    <t>Ending Cash</t>
  </si>
  <si>
    <t>(+) Proceeds from Sale of Assets</t>
  </si>
  <si>
    <t>(-) Net Payments for Acquisition of Companies</t>
  </si>
  <si>
    <t>-</t>
  </si>
  <si>
    <t>Opening PP&amp;E</t>
  </si>
  <si>
    <t>Income Statement Drivers</t>
  </si>
  <si>
    <t>Revenue Growth %</t>
  </si>
  <si>
    <t>COGS % Revenue</t>
  </si>
  <si>
    <t>Selling Expenses % Revenue</t>
  </si>
  <si>
    <t>Tax Rate</t>
  </si>
  <si>
    <t>Working capital Drivers</t>
  </si>
  <si>
    <t>Other Current Assets % Revenue</t>
  </si>
  <si>
    <t>Other Current Liabilities % Revenue</t>
  </si>
  <si>
    <t>PP&amp;E Drivers</t>
  </si>
  <si>
    <t>CapEx % Revenue</t>
  </si>
  <si>
    <t>D&amp;A % Beginning PP&amp;E</t>
  </si>
  <si>
    <t>Financing Drivers</t>
  </si>
  <si>
    <t xml:space="preserve">Interest Rate </t>
  </si>
  <si>
    <t>Dividend Payout Ratio</t>
  </si>
  <si>
    <t>Other Operating Income % Revenue</t>
  </si>
  <si>
    <t>Days Sales Outstanding (DSO)</t>
  </si>
  <si>
    <t>Days Inventory Outstanding (DIO)</t>
  </si>
  <si>
    <t>Days Payables Outstanding (DPO)</t>
  </si>
  <si>
    <t>Other Operating Expenses % Revenue</t>
  </si>
  <si>
    <t>Administrative Expenses &amp; Revenue</t>
  </si>
  <si>
    <t>Historical Drivers and Assumptions</t>
  </si>
  <si>
    <t>(+) Debt Issued</t>
  </si>
  <si>
    <t xml:space="preserve">(-) Debt Repaid </t>
  </si>
  <si>
    <t>Mandatory Repayment % (Beg. LT Debt)</t>
  </si>
  <si>
    <t>Gross Refinancing % (Beg. LT Debt)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</si>
</sst>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&quot;A&quot;"/>
    <numFmt numFmtId="165" formatCode="yyyy&quot;E&quot;"/>
    <numFmt numFmtId="166" formatCode="#,##0;\(#,##0\);\-;@"/>
    <numFmt numFmtId="167" formatCode="_-* #,##0\ [$€-41B]_-;\-* #,##0\ [$€-41B]_-;_-* &quot;-&quot;??\ [$€-41B]_-;_-@_-"/>
    <numFmt numFmtId="168" formatCode="0.0%"/>
  </numFmts>
  <fonts count="16" x14ac:knownFonts="1"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3" tint="0.249977111117893"/>
      <name val="Aptos Narrow"/>
      <family val="2"/>
    </font>
    <font>
      <sz val="10"/>
      <name val="Aptos Narrow"/>
      <family val="2"/>
    </font>
    <font>
      <b/>
      <sz val="10"/>
      <name val="Aptos Narrow"/>
      <family val="2"/>
    </font>
    <font>
      <sz val="12"/>
      <color theme="1"/>
      <name val="Aptos Narrow"/>
      <family val="2"/>
      <charset val="238"/>
    </font>
    <font>
      <i/>
      <sz val="11"/>
      <color theme="1"/>
      <name val="Aptos Narrow"/>
      <family val="2"/>
    </font>
    <font>
      <i/>
      <sz val="11"/>
      <color theme="3" tint="0.249977111117893"/>
      <name val="Aptos Narrow"/>
      <family val="2"/>
    </font>
    <font>
      <i/>
      <sz val="11"/>
      <name val="Aptos Narrow"/>
      <family val="2"/>
    </font>
    <font>
      <i/>
      <sz val="10"/>
      <color theme="1"/>
      <name val="Aptos Narrow"/>
      <family val="2"/>
    </font>
    <font>
      <i/>
      <sz val="11"/>
      <color rgb="FF215C9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0" fontId="2" fillId="0" borderId="1" xfId="0" applyFont="1" applyBorder="1"/>
    <xf numFmtId="0" fontId="2" fillId="0" borderId="2" xfId="0" applyFont="1" applyBorder="1"/>
    <xf numFmtId="166" fontId="5" fillId="0" borderId="0" xfId="0" applyNumberFormat="1" applyFont="1"/>
    <xf numFmtId="166" fontId="5" fillId="0" borderId="1" xfId="0" applyNumberFormat="1" applyFont="1" applyBorder="1"/>
    <xf numFmtId="0" fontId="3" fillId="0" borderId="0" xfId="0" applyFont="1" applyAlignment="1">
      <alignment horizontal="left" indent="1"/>
    </xf>
    <xf numFmtId="0" fontId="2" fillId="0" borderId="1" xfId="0" quotePrefix="1" applyFont="1" applyBorder="1" applyAlignment="1">
      <alignment horizontal="left" indent="2"/>
    </xf>
    <xf numFmtId="0" fontId="2" fillId="0" borderId="0" xfId="0" quotePrefix="1" applyFont="1" applyAlignment="1">
      <alignment horizontal="left" indent="2"/>
    </xf>
    <xf numFmtId="0" fontId="3" fillId="0" borderId="2" xfId="0" applyFont="1" applyBorder="1" applyAlignment="1">
      <alignment horizontal="left" indent="1"/>
    </xf>
    <xf numFmtId="167" fontId="6" fillId="0" borderId="2" xfId="0" applyNumberFormat="1" applyFont="1" applyBorder="1"/>
    <xf numFmtId="166" fontId="6" fillId="0" borderId="0" xfId="0" applyNumberFormat="1" applyFont="1"/>
    <xf numFmtId="167" fontId="6" fillId="0" borderId="0" xfId="0" applyNumberFormat="1" applyFont="1"/>
    <xf numFmtId="166" fontId="7" fillId="0" borderId="0" xfId="0" applyNumberFormat="1" applyFont="1"/>
    <xf numFmtId="166" fontId="7" fillId="0" borderId="1" xfId="0" applyNumberFormat="1" applyFont="1" applyBorder="1"/>
    <xf numFmtId="0" fontId="2" fillId="2" borderId="0" xfId="0" applyFont="1" applyFill="1"/>
    <xf numFmtId="0" fontId="6" fillId="0" borderId="0" xfId="0" applyFont="1"/>
    <xf numFmtId="166" fontId="3" fillId="0" borderId="0" xfId="0" applyNumberFormat="1" applyFont="1"/>
    <xf numFmtId="166" fontId="6" fillId="0" borderId="2" xfId="0" applyNumberFormat="1" applyFont="1" applyBorder="1"/>
    <xf numFmtId="0" fontId="5" fillId="0" borderId="0" xfId="0" applyFont="1"/>
    <xf numFmtId="167" fontId="5" fillId="0" borderId="0" xfId="0" applyNumberFormat="1" applyFont="1"/>
    <xf numFmtId="0" fontId="2" fillId="0" borderId="0" xfId="0" applyFont="1" applyAlignment="1">
      <alignment horizontal="left" indent="2"/>
    </xf>
    <xf numFmtId="0" fontId="2" fillId="0" borderId="1" xfId="0" applyFont="1" applyBorder="1" applyAlignment="1">
      <alignment horizontal="left" indent="2"/>
    </xf>
    <xf numFmtId="0" fontId="2" fillId="0" borderId="0" xfId="0" quotePrefix="1" applyFont="1" applyAlignment="1">
      <alignment horizontal="left" indent="3"/>
    </xf>
    <xf numFmtId="0" fontId="3" fillId="0" borderId="0" xfId="0" quotePrefix="1" applyFont="1" applyAlignment="1">
      <alignment horizontal="left" indent="1"/>
    </xf>
    <xf numFmtId="0" fontId="2" fillId="0" borderId="3" xfId="0" applyFont="1" applyBorder="1"/>
    <xf numFmtId="0" fontId="3" fillId="0" borderId="2" xfId="0" applyFont="1" applyBorder="1" applyAlignment="1">
      <alignment horizontal="left" indent="2"/>
    </xf>
    <xf numFmtId="0" fontId="3" fillId="0" borderId="2" xfId="0" quotePrefix="1" applyFont="1" applyBorder="1" applyAlignment="1">
      <alignment horizontal="left" indent="2"/>
    </xf>
    <xf numFmtId="0" fontId="3" fillId="0" borderId="2" xfId="0" applyFont="1" applyBorder="1"/>
    <xf numFmtId="0" fontId="2" fillId="3" borderId="0" xfId="0" applyFont="1" applyFill="1"/>
    <xf numFmtId="167" fontId="6" fillId="3" borderId="0" xfId="0" applyNumberFormat="1" applyFont="1" applyFill="1"/>
    <xf numFmtId="165" fontId="4" fillId="2" borderId="4" xfId="0" applyNumberFormat="1" applyFont="1" applyFill="1" applyBorder="1"/>
    <xf numFmtId="166" fontId="5" fillId="0" borderId="4" xfId="0" applyNumberFormat="1" applyFont="1" applyBorder="1"/>
    <xf numFmtId="166" fontId="5" fillId="0" borderId="5" xfId="0" applyNumberFormat="1" applyFont="1" applyBorder="1"/>
    <xf numFmtId="166" fontId="3" fillId="0" borderId="4" xfId="0" applyNumberFormat="1" applyFont="1" applyBorder="1"/>
    <xf numFmtId="166" fontId="6" fillId="0" borderId="6" xfId="0" applyNumberFormat="1" applyFont="1" applyBorder="1"/>
    <xf numFmtId="166" fontId="6" fillId="0" borderId="4" xfId="0" applyNumberFormat="1" applyFont="1" applyBorder="1"/>
    <xf numFmtId="167" fontId="6" fillId="0" borderId="6" xfId="0" applyNumberFormat="1" applyFont="1" applyBorder="1"/>
    <xf numFmtId="0" fontId="2" fillId="0" borderId="4" xfId="0" applyFont="1" applyBorder="1"/>
    <xf numFmtId="0" fontId="3" fillId="0" borderId="0" xfId="0" applyFont="1" applyAlignment="1">
      <alignment horizontal="left" indent="2"/>
    </xf>
    <xf numFmtId="0" fontId="3" fillId="3" borderId="0" xfId="0" applyFont="1" applyFill="1" applyAlignment="1">
      <alignment horizontal="left" indent="1"/>
    </xf>
    <xf numFmtId="0" fontId="2" fillId="3" borderId="4" xfId="0" applyFont="1" applyFill="1" applyBorder="1"/>
    <xf numFmtId="0" fontId="3" fillId="0" borderId="3" xfId="0" applyFont="1" applyBorder="1" applyAlignment="1">
      <alignment horizontal="left" indent="1"/>
    </xf>
    <xf numFmtId="0" fontId="3" fillId="3" borderId="0" xfId="0" applyFont="1" applyFill="1" applyAlignment="1">
      <alignment horizontal="left"/>
    </xf>
    <xf numFmtId="0" fontId="2" fillId="0" borderId="8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left" indent="1"/>
    </xf>
    <xf numFmtId="166" fontId="8" fillId="0" borderId="0" xfId="0" applyNumberFormat="1" applyFont="1"/>
    <xf numFmtId="166" fontId="9" fillId="0" borderId="0" xfId="0" applyNumberFormat="1" applyFont="1"/>
    <xf numFmtId="166" fontId="9" fillId="0" borderId="8" xfId="0" applyNumberFormat="1" applyFont="1" applyBorder="1"/>
    <xf numFmtId="166" fontId="9" fillId="0" borderId="3" xfId="0" applyNumberFormat="1" applyFont="1" applyBorder="1"/>
    <xf numFmtId="166" fontId="7" fillId="3" borderId="0" xfId="0" applyNumberFormat="1" applyFont="1" applyFill="1"/>
    <xf numFmtId="166" fontId="8" fillId="0" borderId="4" xfId="0" applyNumberFormat="1" applyFont="1" applyBorder="1"/>
    <xf numFmtId="166" fontId="7" fillId="0" borderId="10" xfId="0" applyNumberFormat="1" applyFont="1" applyBorder="1"/>
    <xf numFmtId="0" fontId="3" fillId="3" borderId="0" xfId="0" applyFont="1" applyFill="1"/>
    <xf numFmtId="0" fontId="2" fillId="0" borderId="1" xfId="0" applyFont="1" applyBorder="1" applyAlignment="1">
      <alignment horizontal="left" indent="1"/>
    </xf>
    <xf numFmtId="166" fontId="9" fillId="0" borderId="2" xfId="0" applyNumberFormat="1" applyFont="1" applyBorder="1"/>
    <xf numFmtId="166" fontId="2" fillId="0" borderId="0" xfId="0" applyNumberFormat="1" applyFont="1"/>
    <xf numFmtId="166" fontId="2" fillId="0" borderId="2" xfId="0" applyNumberFormat="1" applyFont="1" applyBorder="1"/>
    <xf numFmtId="0" fontId="2" fillId="0" borderId="0" xfId="0" applyFont="1" applyAlignment="1">
      <alignment horizontal="right"/>
    </xf>
    <xf numFmtId="166" fontId="3" fillId="0" borderId="2" xfId="0" applyNumberFormat="1" applyFont="1" applyBorder="1"/>
    <xf numFmtId="0" fontId="2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9" fontId="11" fillId="0" borderId="0" xfId="1" applyFont="1"/>
    <xf numFmtId="9" fontId="11" fillId="0" borderId="0" xfId="1" applyFont="1" applyBorder="1"/>
    <xf numFmtId="9" fontId="11" fillId="0" borderId="0" xfId="0" applyNumberFormat="1" applyFont="1"/>
    <xf numFmtId="9" fontId="12" fillId="0" borderId="4" xfId="1" applyFont="1" applyBorder="1"/>
    <xf numFmtId="9" fontId="12" fillId="0" borderId="0" xfId="1" applyFont="1" applyBorder="1"/>
    <xf numFmtId="168" fontId="12" fillId="0" borderId="0" xfId="1" applyNumberFormat="1" applyFont="1" applyBorder="1"/>
    <xf numFmtId="168" fontId="12" fillId="0" borderId="4" xfId="1" applyNumberFormat="1" applyFont="1" applyBorder="1"/>
    <xf numFmtId="9" fontId="12" fillId="0" borderId="0" xfId="1" applyFont="1"/>
    <xf numFmtId="168" fontId="13" fillId="0" borderId="4" xfId="1" applyNumberFormat="1" applyFont="1" applyBorder="1"/>
    <xf numFmtId="168" fontId="13" fillId="0" borderId="0" xfId="1" applyNumberFormat="1" applyFont="1" applyBorder="1"/>
    <xf numFmtId="168" fontId="12" fillId="0" borderId="0" xfId="1" applyNumberFormat="1" applyFont="1"/>
    <xf numFmtId="166" fontId="2" fillId="0" borderId="4" xfId="0" applyNumberFormat="1" applyFont="1" applyBorder="1"/>
    <xf numFmtId="166" fontId="11" fillId="0" borderId="4" xfId="0" applyNumberFormat="1" applyFont="1" applyBorder="1"/>
    <xf numFmtId="166" fontId="11" fillId="0" borderId="0" xfId="0" applyNumberFormat="1" applyFont="1"/>
    <xf numFmtId="166" fontId="14" fillId="0" borderId="0" xfId="0" applyNumberFormat="1" applyFont="1"/>
    <xf numFmtId="9" fontId="2" fillId="0" borderId="4" xfId="0" applyNumberFormat="1" applyFont="1" applyBorder="1"/>
    <xf numFmtId="9" fontId="2" fillId="0" borderId="0" xfId="0" applyNumberFormat="1" applyFont="1"/>
    <xf numFmtId="166" fontId="5" fillId="0" borderId="4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6" fontId="5" fillId="0" borderId="5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2" fillId="0" borderId="5" xfId="0" applyNumberFormat="1" applyFont="1" applyBorder="1"/>
    <xf numFmtId="166" fontId="2" fillId="0" borderId="6" xfId="0" applyNumberFormat="1" applyFont="1" applyBorder="1"/>
    <xf numFmtId="166" fontId="2" fillId="0" borderId="1" xfId="0" applyNumberFormat="1" applyFont="1" applyBorder="1"/>
    <xf numFmtId="166" fontId="7" fillId="0" borderId="5" xfId="0" applyNumberFormat="1" applyFont="1" applyBorder="1"/>
    <xf numFmtId="166" fontId="9" fillId="0" borderId="6" xfId="0" applyNumberFormat="1" applyFont="1" applyBorder="1"/>
    <xf numFmtId="166" fontId="9" fillId="0" borderId="9" xfId="0" applyNumberFormat="1" applyFont="1" applyBorder="1"/>
    <xf numFmtId="166" fontId="9" fillId="0" borderId="7" xfId="0" applyNumberFormat="1" applyFont="1" applyBorder="1"/>
    <xf numFmtId="166" fontId="9" fillId="0" borderId="4" xfId="0" applyNumberFormat="1" applyFont="1" applyBorder="1"/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8" fontId="15" fillId="0" borderId="4" xfId="0" applyNumberFormat="1" applyFont="1" applyBorder="1"/>
    <xf numFmtId="168" fontId="1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entire-wb-ar23.xlsx" TargetMode="External"/><Relationship Id="rId2" Type="http://schemas.openxmlformats.org/officeDocument/2006/relationships/externalLinkPath" Target="file:///C:\Users\Simonko\Downloads\entire-wb-ar23.xlsx" TargetMode="External"/><Relationship Id="rId1" Type="http://schemas.openxmlformats.org/officeDocument/2006/relationships/externalLinkPath" Target="/Users/Simonko/Downloads/entire-wb-ar2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entire-wb-ar25.xlsx" TargetMode="External"/><Relationship Id="rId2" Type="http://schemas.openxmlformats.org/officeDocument/2006/relationships/externalLinkPath" Target="file:///C:\Users\Simonko\Downloads\entire-wb-ar25.xlsx" TargetMode="External"/><Relationship Id="rId1" Type="http://schemas.openxmlformats.org/officeDocument/2006/relationships/externalLinkPath" Target="/Users/Simonko/Downloads/entire-wb-ar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sus-nf-indicators-environment"/>
      <sheetName val="sus-nf-indicators-social"/>
      <sheetName val="sus-key-figures"/>
      <sheetName val="cfs-income-statement"/>
      <sheetName val="cfs-comprehensive-income"/>
      <sheetName val="cfs-balance-sheet"/>
      <sheetName val="cfs-cash-flow-statement"/>
      <sheetName val="cfs-changes-in-equity"/>
    </sheetNames>
    <sheetDataSet>
      <sheetData sheetId="0"/>
      <sheetData sheetId="1"/>
      <sheetData sheetId="2"/>
      <sheetData sheetId="3"/>
      <sheetData sheetId="4"/>
      <sheetData sheetId="5"/>
      <sheetData sheetId="6">
        <row r="26">
          <cell r="C26">
            <v>111732</v>
          </cell>
        </row>
        <row r="27">
          <cell r="C27">
            <v>987031</v>
          </cell>
        </row>
        <row r="28">
          <cell r="C28">
            <v>1921571</v>
          </cell>
        </row>
        <row r="29">
          <cell r="C29">
            <v>-218652</v>
          </cell>
        </row>
        <row r="30">
          <cell r="C30">
            <v>-146247</v>
          </cell>
        </row>
        <row r="35">
          <cell r="C35">
            <v>100537</v>
          </cell>
        </row>
        <row r="36">
          <cell r="C36">
            <v>69468</v>
          </cell>
        </row>
        <row r="37">
          <cell r="C37">
            <v>103509</v>
          </cell>
        </row>
        <row r="38">
          <cell r="C38">
            <v>1274574</v>
          </cell>
        </row>
        <row r="39">
          <cell r="C39">
            <v>23313</v>
          </cell>
        </row>
      </sheetData>
      <sheetData sheetId="7">
        <row r="6">
          <cell r="C6">
            <v>424323</v>
          </cell>
          <cell r="D6">
            <v>688346</v>
          </cell>
        </row>
        <row r="7">
          <cell r="C7">
            <v>286791</v>
          </cell>
          <cell r="D7">
            <v>276257</v>
          </cell>
        </row>
        <row r="8">
          <cell r="C8">
            <v>33850</v>
          </cell>
          <cell r="D8">
            <v>49508</v>
          </cell>
        </row>
        <row r="9">
          <cell r="C9">
            <v>-5245</v>
          </cell>
          <cell r="D9">
            <v>-18245</v>
          </cell>
        </row>
        <row r="10">
          <cell r="C10">
            <v>337</v>
          </cell>
          <cell r="D10">
            <v>-6563</v>
          </cell>
        </row>
        <row r="11">
          <cell r="C11">
            <v>-13194</v>
          </cell>
          <cell r="D11">
            <v>-26145</v>
          </cell>
        </row>
        <row r="12">
          <cell r="C12">
            <v>56132</v>
          </cell>
          <cell r="D12">
            <v>42261</v>
          </cell>
        </row>
        <row r="13">
          <cell r="C13">
            <v>-63442</v>
          </cell>
          <cell r="D13">
            <v>-42222</v>
          </cell>
        </row>
        <row r="14">
          <cell r="C14">
            <v>15159</v>
          </cell>
          <cell r="D14">
            <v>2776</v>
          </cell>
        </row>
        <row r="15">
          <cell r="C15">
            <v>-115370</v>
          </cell>
          <cell r="D15">
            <v>-91364</v>
          </cell>
        </row>
        <row r="16">
          <cell r="C16">
            <v>-10887</v>
          </cell>
          <cell r="D16">
            <v>3753</v>
          </cell>
        </row>
        <row r="19">
          <cell r="C19">
            <v>-119895</v>
          </cell>
          <cell r="D19">
            <v>-171285</v>
          </cell>
        </row>
        <row r="20">
          <cell r="C20">
            <v>69895</v>
          </cell>
          <cell r="D20">
            <v>-34242</v>
          </cell>
        </row>
        <row r="21">
          <cell r="C21">
            <v>-115237</v>
          </cell>
          <cell r="D21">
            <v>19934</v>
          </cell>
        </row>
        <row r="22">
          <cell r="C22">
            <v>-33264</v>
          </cell>
          <cell r="D22">
            <v>31035</v>
          </cell>
        </row>
        <row r="25">
          <cell r="C25">
            <v>35162</v>
          </cell>
          <cell r="D25">
            <v>65428</v>
          </cell>
        </row>
        <row r="26">
          <cell r="C26">
            <v>-271590</v>
          </cell>
          <cell r="D26">
            <v>-352573</v>
          </cell>
        </row>
        <row r="27">
          <cell r="C27">
            <v>-21478</v>
          </cell>
        </row>
        <row r="28">
          <cell r="C28">
            <v>2194</v>
          </cell>
          <cell r="D28">
            <v>3216</v>
          </cell>
        </row>
        <row r="29">
          <cell r="C29">
            <v>-3828</v>
          </cell>
          <cell r="D29">
            <v>-8521</v>
          </cell>
        </row>
        <row r="30">
          <cell r="C30">
            <v>-63415</v>
          </cell>
          <cell r="D30">
            <v>-52447</v>
          </cell>
        </row>
        <row r="31">
          <cell r="D31">
            <v>12100</v>
          </cell>
        </row>
        <row r="38">
          <cell r="C38">
            <v>-94848</v>
          </cell>
          <cell r="D38">
            <v>-83871</v>
          </cell>
        </row>
        <row r="39">
          <cell r="C39">
            <v>-26018</v>
          </cell>
          <cell r="D39">
            <v>-213445</v>
          </cell>
        </row>
        <row r="43">
          <cell r="C43">
            <v>-8720</v>
          </cell>
          <cell r="D43">
            <v>-64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sst-program-progress"/>
      <sheetName val="cfs-income-statement"/>
      <sheetName val="cfs-comprehensive-income"/>
      <sheetName val="cfs-balance-sheet"/>
      <sheetName val="cfs-changes-in-equity-ry"/>
      <sheetName val="cfs-changes-in-equity-py"/>
      <sheetName val="cfs-cash-flow-statement"/>
    </sheetNames>
    <sheetDataSet>
      <sheetData sheetId="0"/>
      <sheetData sheetId="1"/>
      <sheetData sheetId="2"/>
      <sheetData sheetId="3"/>
      <sheetData sheetId="4">
        <row r="27">
          <cell r="C27">
            <v>109</v>
          </cell>
        </row>
        <row r="28">
          <cell r="C28">
            <v>984</v>
          </cell>
        </row>
        <row r="29">
          <cell r="C29">
            <v>1968</v>
          </cell>
        </row>
        <row r="30">
          <cell r="C30">
            <v>-256</v>
          </cell>
          <cell r="D30">
            <v>-161</v>
          </cell>
        </row>
        <row r="31">
          <cell r="C31">
            <v>-8</v>
          </cell>
          <cell r="D31">
            <v>-42</v>
          </cell>
        </row>
        <row r="33">
          <cell r="C33">
            <v>5</v>
          </cell>
          <cell r="D33">
            <v>26</v>
          </cell>
        </row>
        <row r="36">
          <cell r="C36">
            <v>1582</v>
          </cell>
          <cell r="D36">
            <v>1522</v>
          </cell>
        </row>
        <row r="37">
          <cell r="D37">
            <v>113</v>
          </cell>
        </row>
        <row r="38">
          <cell r="D38">
            <v>116</v>
          </cell>
        </row>
        <row r="39">
          <cell r="D39">
            <v>26</v>
          </cell>
        </row>
        <row r="40">
          <cell r="C40">
            <v>178</v>
          </cell>
          <cell r="D40">
            <v>200</v>
          </cell>
        </row>
      </sheetData>
      <sheetData sheetId="5"/>
      <sheetData sheetId="6"/>
      <sheetData sheetId="7">
        <row r="6">
          <cell r="C6">
            <v>233</v>
          </cell>
          <cell r="D6">
            <v>151</v>
          </cell>
        </row>
        <row r="8">
          <cell r="C8">
            <v>377</v>
          </cell>
          <cell r="D8">
            <v>362</v>
          </cell>
        </row>
        <row r="9">
          <cell r="C9">
            <v>13</v>
          </cell>
          <cell r="D9">
            <v>51</v>
          </cell>
        </row>
        <row r="10">
          <cell r="C10">
            <v>-14</v>
          </cell>
          <cell r="D10">
            <v>-32</v>
          </cell>
        </row>
        <row r="11">
          <cell r="C11">
            <v>1</v>
          </cell>
          <cell r="D11">
            <v>2</v>
          </cell>
        </row>
        <row r="12">
          <cell r="C12">
            <v>-12</v>
          </cell>
          <cell r="D12">
            <v>-27</v>
          </cell>
        </row>
        <row r="13">
          <cell r="C13">
            <v>98</v>
          </cell>
          <cell r="D13">
            <v>100</v>
          </cell>
        </row>
        <row r="14">
          <cell r="C14">
            <v>-18</v>
          </cell>
          <cell r="D14">
            <v>48</v>
          </cell>
        </row>
        <row r="15">
          <cell r="C15">
            <v>-110</v>
          </cell>
          <cell r="D15">
            <v>-103</v>
          </cell>
        </row>
        <row r="16">
          <cell r="C16">
            <v>8</v>
          </cell>
          <cell r="D16">
            <v>13</v>
          </cell>
        </row>
        <row r="17">
          <cell r="C17">
            <v>-50</v>
          </cell>
          <cell r="D17">
            <v>-98</v>
          </cell>
        </row>
        <row r="20">
          <cell r="C20">
            <v>-26</v>
          </cell>
          <cell r="D20">
            <v>56</v>
          </cell>
        </row>
        <row r="21">
          <cell r="C21">
            <v>89</v>
          </cell>
          <cell r="D21">
            <v>82</v>
          </cell>
        </row>
        <row r="22">
          <cell r="C22">
            <v>40</v>
          </cell>
          <cell r="D22">
            <v>16</v>
          </cell>
        </row>
        <row r="23">
          <cell r="C23">
            <v>1</v>
          </cell>
        </row>
        <row r="26">
          <cell r="D26">
            <v>15</v>
          </cell>
        </row>
        <row r="27">
          <cell r="C27">
            <v>-281</v>
          </cell>
          <cell r="D27">
            <v>-312</v>
          </cell>
        </row>
        <row r="29">
          <cell r="C29">
            <v>1</v>
          </cell>
        </row>
        <row r="30">
          <cell r="C30">
            <v>45</v>
          </cell>
        </row>
        <row r="31">
          <cell r="C31">
            <v>-24</v>
          </cell>
          <cell r="D31">
            <v>-634</v>
          </cell>
        </row>
        <row r="35">
          <cell r="C35">
            <v>254</v>
          </cell>
          <cell r="D35">
            <v>1117</v>
          </cell>
        </row>
        <row r="36">
          <cell r="C36">
            <v>-456</v>
          </cell>
          <cell r="D36">
            <v>-745</v>
          </cell>
        </row>
        <row r="37">
          <cell r="C37">
            <v>-77</v>
          </cell>
          <cell r="D37">
            <v>-72</v>
          </cell>
        </row>
        <row r="38">
          <cell r="C38">
            <v>-104</v>
          </cell>
          <cell r="D38">
            <v>-100</v>
          </cell>
        </row>
        <row r="39">
          <cell r="C39">
            <v>-3</v>
          </cell>
        </row>
        <row r="40">
          <cell r="C40">
            <v>-24</v>
          </cell>
        </row>
        <row r="41">
          <cell r="C41">
            <v>-29</v>
          </cell>
          <cell r="D41">
            <v>-34</v>
          </cell>
        </row>
        <row r="45">
          <cell r="C45">
            <v>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28B227-0DC8-4A8F-89CF-1A2D64DC201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42300c9-8795-490a-8d01-79ff478b43a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2C87-D7D9-4999-89B4-3CA9A8653D1C}">
  <dimension ref="A1:M158"/>
  <sheetViews>
    <sheetView showGridLines="0" tabSelected="1" zoomScale="80" zoomScaleNormal="80" workbookViewId="0"/>
  </sheetViews>
  <sheetFormatPr defaultRowHeight="15" x14ac:dyDescent="0.25"/>
  <cols>
    <col min="1" max="1" width="3.625" style="3" customWidth="1"/>
    <col min="2" max="2" width="33.625" style="3" bestFit="1" customWidth="1"/>
    <col min="3" max="13" width="12.625" style="3" customWidth="1"/>
    <col min="14" max="16384" width="9" style="3"/>
  </cols>
  <sheetData>
    <row r="1" spans="1:13" customFormat="1" ht="15.75" x14ac:dyDescent="0.25"/>
    <row r="2" spans="1:13" s="1" customFormat="1" ht="21" x14ac:dyDescent="0.35">
      <c r="B2" s="2" t="s">
        <v>85</v>
      </c>
    </row>
    <row r="3" spans="1:13" x14ac:dyDescent="0.25">
      <c r="B3" s="4"/>
    </row>
    <row r="4" spans="1:13" x14ac:dyDescent="0.25">
      <c r="A4" s="3" t="s">
        <v>0</v>
      </c>
      <c r="B4" s="5" t="s">
        <v>115</v>
      </c>
      <c r="C4" s="21"/>
      <c r="D4" s="6">
        <v>44561</v>
      </c>
      <c r="E4" s="6">
        <f t="shared" ref="E4:H4" si="0">EOMONTH(D4,12)</f>
        <v>44926</v>
      </c>
      <c r="F4" s="6">
        <f t="shared" si="0"/>
        <v>45291</v>
      </c>
      <c r="G4" s="6">
        <f t="shared" si="0"/>
        <v>45657</v>
      </c>
      <c r="H4" s="6">
        <f t="shared" si="0"/>
        <v>46022</v>
      </c>
      <c r="I4" s="37">
        <f t="shared" ref="I4" si="1">EOMONTH(H4,12)</f>
        <v>46387</v>
      </c>
      <c r="J4" s="7">
        <f t="shared" ref="J4" si="2">EOMONTH(I4,12)</f>
        <v>46752</v>
      </c>
      <c r="K4" s="7">
        <f t="shared" ref="K4" si="3">EOMONTH(J4,12)</f>
        <v>47118</v>
      </c>
      <c r="L4" s="7">
        <f t="shared" ref="L4" si="4">EOMONTH(K4,12)</f>
        <v>47483</v>
      </c>
      <c r="M4" s="7">
        <f t="shared" ref="M4" si="5">EOMONTH(L4,12)</f>
        <v>47848</v>
      </c>
    </row>
    <row r="5" spans="1:13" x14ac:dyDescent="0.25">
      <c r="B5" s="60" t="s">
        <v>95</v>
      </c>
      <c r="C5" s="35"/>
      <c r="D5" s="35"/>
      <c r="E5" s="35"/>
      <c r="F5" s="35"/>
      <c r="G5" s="35"/>
      <c r="H5" s="35"/>
      <c r="I5" s="47"/>
      <c r="J5" s="35"/>
      <c r="K5" s="35"/>
      <c r="L5" s="35"/>
      <c r="M5" s="35"/>
    </row>
    <row r="6" spans="1:13" x14ac:dyDescent="0.25">
      <c r="B6" s="67" t="s">
        <v>96</v>
      </c>
      <c r="D6" s="68" t="s">
        <v>93</v>
      </c>
      <c r="E6" s="69">
        <f>E34/D34-1</f>
        <v>0.25317231833247855</v>
      </c>
      <c r="F6" s="69">
        <f t="shared" ref="F6:H6" si="6">F34/E34-1</f>
        <v>-0.15118194027727427</v>
      </c>
      <c r="G6" s="69">
        <f t="shared" si="6"/>
        <v>6.8253265598886337E-2</v>
      </c>
      <c r="H6" s="69">
        <f t="shared" si="6"/>
        <v>1.1818958420356962E-2</v>
      </c>
      <c r="I6" s="75">
        <v>2.5000000000000001E-2</v>
      </c>
      <c r="J6" s="74">
        <v>2.4E-2</v>
      </c>
      <c r="K6" s="74">
        <v>2.3E-2</v>
      </c>
      <c r="L6" s="74">
        <v>2.1999999999999999E-2</v>
      </c>
      <c r="M6" s="74">
        <v>0.02</v>
      </c>
    </row>
    <row r="7" spans="1:13" x14ac:dyDescent="0.25">
      <c r="B7" s="67" t="s">
        <v>97</v>
      </c>
      <c r="D7" s="69">
        <f>(D36/D34)*-1</f>
        <v>0.63760041719262706</v>
      </c>
      <c r="E7" s="69">
        <f t="shared" ref="E7:H7" si="7">(E36/E34)*-1</f>
        <v>0.60871953723849315</v>
      </c>
      <c r="F7" s="69">
        <f t="shared" si="7"/>
        <v>0.61825823678965242</v>
      </c>
      <c r="G7" s="69">
        <f t="shared" si="7"/>
        <v>0.64313061129066751</v>
      </c>
      <c r="H7" s="69">
        <f t="shared" si="7"/>
        <v>0.64892685063512923</v>
      </c>
      <c r="I7" s="77">
        <f>AVERAGE(D7:H7)</f>
        <v>0.63132713062931389</v>
      </c>
      <c r="J7" s="78">
        <f t="shared" ref="J7:M7" si="8">AVERAGE(E7:I7)</f>
        <v>0.63007247331665117</v>
      </c>
      <c r="K7" s="78">
        <f t="shared" si="8"/>
        <v>0.63434306053228284</v>
      </c>
      <c r="L7" s="78">
        <f t="shared" si="8"/>
        <v>0.63756002528080891</v>
      </c>
      <c r="M7" s="78">
        <f t="shared" si="8"/>
        <v>0.63644590807883716</v>
      </c>
    </row>
    <row r="8" spans="1:13" x14ac:dyDescent="0.25">
      <c r="B8" s="67" t="s">
        <v>109</v>
      </c>
      <c r="D8" s="69">
        <f>D39/D34</f>
        <v>1.4240903561472331E-2</v>
      </c>
      <c r="E8" s="69">
        <f t="shared" ref="E8:H8" si="9">E39/E34</f>
        <v>1.3413018824401234E-2</v>
      </c>
      <c r="F8" s="69">
        <f t="shared" si="9"/>
        <v>2.1059147701179354E-2</v>
      </c>
      <c r="G8" s="69">
        <f t="shared" si="9"/>
        <v>3.0442986572236139E-2</v>
      </c>
      <c r="H8" s="69">
        <f t="shared" si="9"/>
        <v>3.2413491020586944E-2</v>
      </c>
      <c r="I8" s="75">
        <v>3.5000000000000003E-2</v>
      </c>
      <c r="J8" s="79">
        <v>3.5000000000000003E-2</v>
      </c>
      <c r="K8" s="79">
        <v>0.03</v>
      </c>
      <c r="L8" s="79">
        <v>3.1E-2</v>
      </c>
      <c r="M8" s="79">
        <v>2.5000000000000001E-2</v>
      </c>
    </row>
    <row r="9" spans="1:13" x14ac:dyDescent="0.25">
      <c r="B9" s="67" t="s">
        <v>98</v>
      </c>
      <c r="D9" s="69">
        <f>(D40/D34)*-1</f>
        <v>0.17800915416511492</v>
      </c>
      <c r="E9" s="69">
        <f t="shared" ref="E9:H9" si="10">(E40/E34)*-1</f>
        <v>0.17260684320554132</v>
      </c>
      <c r="F9" s="69">
        <f t="shared" si="10"/>
        <v>0.18540695114503092</v>
      </c>
      <c r="G9" s="69">
        <f t="shared" si="10"/>
        <v>0.19621952881501284</v>
      </c>
      <c r="H9" s="69">
        <f t="shared" si="10"/>
        <v>0.19929916776171705</v>
      </c>
      <c r="I9" s="75">
        <v>0.2</v>
      </c>
      <c r="J9" s="74">
        <v>0.2</v>
      </c>
      <c r="K9" s="74">
        <v>0.2</v>
      </c>
      <c r="L9" s="74">
        <v>0.2</v>
      </c>
      <c r="M9" s="74">
        <v>0.2</v>
      </c>
    </row>
    <row r="10" spans="1:13" x14ac:dyDescent="0.25">
      <c r="B10" s="67" t="s">
        <v>114</v>
      </c>
      <c r="D10" s="69">
        <f>(D41*-1)/D34</f>
        <v>6.9369857329085863E-2</v>
      </c>
      <c r="E10" s="69">
        <f t="shared" ref="E10:H10" si="11">(E41*-1)/E34</f>
        <v>6.5865511745458669E-2</v>
      </c>
      <c r="F10" s="69">
        <f t="shared" si="11"/>
        <v>7.8259325717153438E-2</v>
      </c>
      <c r="G10" s="69">
        <f t="shared" si="11"/>
        <v>7.9171841916029662E-2</v>
      </c>
      <c r="H10" s="69">
        <f t="shared" si="11"/>
        <v>7.9719667104686809E-2</v>
      </c>
      <c r="I10" s="75">
        <v>0.08</v>
      </c>
      <c r="J10" s="74">
        <v>0.08</v>
      </c>
      <c r="K10" s="74">
        <v>0.08</v>
      </c>
      <c r="L10" s="74">
        <v>0.08</v>
      </c>
      <c r="M10" s="74">
        <v>0.08</v>
      </c>
    </row>
    <row r="11" spans="1:13" x14ac:dyDescent="0.25">
      <c r="B11" s="67" t="s">
        <v>113</v>
      </c>
      <c r="D11" s="69">
        <f>(D43/D34)*-1</f>
        <v>2.0686640443561784E-2</v>
      </c>
      <c r="E11" s="69">
        <f t="shared" ref="E11:H11" si="12">(E43/E34)*-1</f>
        <v>1.7613164622889078E-2</v>
      </c>
      <c r="F11" s="69">
        <f t="shared" si="12"/>
        <v>2.2039182452170042E-2</v>
      </c>
      <c r="G11" s="69">
        <f t="shared" si="12"/>
        <v>3.5528673189789181E-2</v>
      </c>
      <c r="H11" s="69">
        <f t="shared" si="12"/>
        <v>2.8909329829172142E-2</v>
      </c>
      <c r="I11" s="75">
        <v>0.03</v>
      </c>
      <c r="J11" s="74">
        <v>0.03</v>
      </c>
      <c r="K11" s="74">
        <v>0.03</v>
      </c>
      <c r="L11" s="74">
        <v>0.03</v>
      </c>
      <c r="M11" s="74">
        <v>0.03</v>
      </c>
    </row>
    <row r="12" spans="1:13" x14ac:dyDescent="0.25">
      <c r="B12" s="67" t="s">
        <v>28</v>
      </c>
      <c r="D12" s="69">
        <f>(D47*-1)/(D95+D100)</f>
        <v>2.6212020897886629E-2</v>
      </c>
      <c r="E12" s="69">
        <f t="shared" ref="E12:H12" si="13">(E47*-1)/(E95+E100)</f>
        <v>3.3393723673908693E-2</v>
      </c>
      <c r="F12" s="69">
        <f t="shared" si="13"/>
        <v>4.4852570334901226E-2</v>
      </c>
      <c r="G12" s="69">
        <f t="shared" si="13"/>
        <v>5.5918194640338509E-2</v>
      </c>
      <c r="H12" s="69">
        <f t="shared" si="13"/>
        <v>5.6308654848800835E-2</v>
      </c>
      <c r="I12" s="75">
        <v>0.04</v>
      </c>
      <c r="J12" s="74">
        <v>0.04</v>
      </c>
      <c r="K12" s="74">
        <v>0.04</v>
      </c>
      <c r="L12" s="74">
        <v>0.04</v>
      </c>
      <c r="M12" s="74">
        <v>0.04</v>
      </c>
    </row>
    <row r="13" spans="1:13" x14ac:dyDescent="0.25">
      <c r="B13" s="67" t="s">
        <v>99</v>
      </c>
      <c r="D13" s="69">
        <f>(D51/D49)*-1</f>
        <v>0.16619686699281011</v>
      </c>
      <c r="E13" s="69">
        <f>(E51/E49)*-1</f>
        <v>0.17404038085497711</v>
      </c>
      <c r="F13" s="69">
        <f>(F51/F49)*-1</f>
        <v>0.21023607016353107</v>
      </c>
      <c r="G13" s="69">
        <f>(G51/G49)*-1</f>
        <v>0.44275016028501069</v>
      </c>
      <c r="H13" s="69">
        <f>(H51/H49)*-1</f>
        <v>0.27896995708154504</v>
      </c>
      <c r="I13" s="72">
        <v>0.27896995708154504</v>
      </c>
      <c r="J13" s="76">
        <v>0.27896995708154504</v>
      </c>
      <c r="K13" s="76">
        <v>0.27896995708154504</v>
      </c>
      <c r="L13" s="76">
        <v>0.27896995708154504</v>
      </c>
      <c r="M13" s="76">
        <v>0.27896995708154504</v>
      </c>
    </row>
    <row r="14" spans="1:13" x14ac:dyDescent="0.25">
      <c r="B14" s="67"/>
      <c r="I14" s="44"/>
    </row>
    <row r="15" spans="1:13" x14ac:dyDescent="0.25">
      <c r="B15" s="49" t="s">
        <v>100</v>
      </c>
      <c r="C15" s="35"/>
      <c r="D15" s="35"/>
      <c r="E15" s="35"/>
      <c r="F15" s="35"/>
      <c r="G15" s="35"/>
      <c r="H15" s="35"/>
      <c r="I15" s="47"/>
      <c r="J15" s="35"/>
      <c r="K15" s="35"/>
      <c r="L15" s="35"/>
      <c r="M15" s="35"/>
    </row>
    <row r="16" spans="1:13" x14ac:dyDescent="0.25">
      <c r="B16" s="67" t="s">
        <v>110</v>
      </c>
      <c r="D16" s="83">
        <f>(D60/D34)*365</f>
        <v>31.563120151627665</v>
      </c>
      <c r="E16" s="83">
        <f t="shared" ref="E16:H16" si="14">(E60/E34)*365</f>
        <v>27.467344032188194</v>
      </c>
      <c r="F16" s="83">
        <f t="shared" si="14"/>
        <v>26.507028316849492</v>
      </c>
      <c r="G16" s="83">
        <f t="shared" si="14"/>
        <v>27.90479683291359</v>
      </c>
      <c r="H16" s="83">
        <f t="shared" si="14"/>
        <v>19.824791940429257</v>
      </c>
      <c r="I16" s="81">
        <f>AVERAGE(D16:H16)</f>
        <v>26.653416254801641</v>
      </c>
      <c r="J16" s="82">
        <f t="shared" ref="J16:M16" si="15">AVERAGE(E16:I16)</f>
        <v>25.671475475436438</v>
      </c>
      <c r="K16" s="82">
        <f t="shared" si="15"/>
        <v>25.312301764086083</v>
      </c>
      <c r="L16" s="82">
        <f t="shared" si="15"/>
        <v>25.0733564535334</v>
      </c>
      <c r="M16" s="82">
        <f t="shared" si="15"/>
        <v>24.507068377657369</v>
      </c>
    </row>
    <row r="17" spans="2:13" x14ac:dyDescent="0.25">
      <c r="B17" s="67" t="s">
        <v>111</v>
      </c>
      <c r="D17" s="83">
        <f>(D61/D34)*365</f>
        <v>81.183566266722778</v>
      </c>
      <c r="E17" s="83">
        <f t="shared" ref="E17:H17" si="16">(E61/E34)*365</f>
        <v>75.997062932060643</v>
      </c>
      <c r="F17" s="83">
        <f t="shared" si="16"/>
        <v>99.689772840254335</v>
      </c>
      <c r="G17" s="83">
        <f t="shared" si="16"/>
        <v>108.46473203749891</v>
      </c>
      <c r="H17" s="83">
        <f t="shared" si="16"/>
        <v>106.23850197109067</v>
      </c>
      <c r="I17" s="81">
        <f>AVERAGE(D17:H17)</f>
        <v>94.314727209525472</v>
      </c>
      <c r="J17" s="82">
        <f t="shared" ref="J17" si="17">AVERAGE(E17:I17)</f>
        <v>96.940959398085994</v>
      </c>
      <c r="K17" s="82">
        <f t="shared" ref="K17" si="18">AVERAGE(F17:J17)</f>
        <v>101.12973869129107</v>
      </c>
      <c r="L17" s="82">
        <f t="shared" ref="L17" si="19">AVERAGE(G17:K17)</f>
        <v>101.41773186149842</v>
      </c>
      <c r="M17" s="82">
        <f t="shared" ref="M17" si="20">AVERAGE(H17:L17)</f>
        <v>100.00833182629833</v>
      </c>
    </row>
    <row r="18" spans="2:13" x14ac:dyDescent="0.25">
      <c r="B18" s="67" t="s">
        <v>112</v>
      </c>
      <c r="D18" s="83">
        <f>((D62*-1)/D34)*365</f>
        <v>38.884797876366648</v>
      </c>
      <c r="E18" s="83">
        <f t="shared" ref="E18:H18" si="21">((E62*-1)/E34)*365</f>
        <v>32.238415691260847</v>
      </c>
      <c r="F18" s="83">
        <f t="shared" si="21"/>
        <v>28.519723791172115</v>
      </c>
      <c r="G18" s="83">
        <f t="shared" si="21"/>
        <v>33.809290075819938</v>
      </c>
      <c r="H18" s="83">
        <f t="shared" si="21"/>
        <v>36.292159439334213</v>
      </c>
      <c r="I18" s="81">
        <f>AVERAGE(D18:H18)</f>
        <v>33.948877374790754</v>
      </c>
      <c r="J18" s="82">
        <f t="shared" ref="J18" si="22">AVERAGE(E18:I18)</f>
        <v>32.961693274475579</v>
      </c>
      <c r="K18" s="82">
        <f t="shared" ref="K18" si="23">AVERAGE(F18:J18)</f>
        <v>33.106348791118521</v>
      </c>
      <c r="L18" s="82">
        <f t="shared" ref="L18" si="24">AVERAGE(G18:K18)</f>
        <v>34.023673791107797</v>
      </c>
      <c r="M18" s="82">
        <f t="shared" ref="M18" si="25">AVERAGE(H18:L18)</f>
        <v>34.066550534165373</v>
      </c>
    </row>
    <row r="19" spans="2:13" x14ac:dyDescent="0.25">
      <c r="B19" s="67" t="s">
        <v>101</v>
      </c>
      <c r="D19" s="69">
        <f>D80/D34</f>
        <v>4.2704832439295175E-2</v>
      </c>
      <c r="E19" s="69">
        <f t="shared" ref="E19:H19" si="26">E80/E34</f>
        <v>4.1442657551180172E-2</v>
      </c>
      <c r="F19" s="69">
        <f t="shared" si="26"/>
        <v>4.7376394892456569E-2</v>
      </c>
      <c r="G19" s="69">
        <f t="shared" si="26"/>
        <v>6.6036366537290045E-2</v>
      </c>
      <c r="H19" s="69">
        <f t="shared" si="26"/>
        <v>4.862023653088042E-2</v>
      </c>
      <c r="I19" s="72">
        <v>0.05</v>
      </c>
      <c r="J19" s="73">
        <v>0.05</v>
      </c>
      <c r="K19" s="73">
        <v>0.05</v>
      </c>
      <c r="L19" s="73">
        <v>0.05</v>
      </c>
      <c r="M19" s="73">
        <v>0.05</v>
      </c>
    </row>
    <row r="20" spans="2:13" x14ac:dyDescent="0.25">
      <c r="B20" s="67" t="s">
        <v>102</v>
      </c>
      <c r="D20" s="70">
        <f>D96/D34</f>
        <v>0.11503870136456336</v>
      </c>
      <c r="E20" s="70">
        <f t="shared" ref="E20:H20" si="27">E96/E34</f>
        <v>0.11327393156794459</v>
      </c>
      <c r="F20" s="70">
        <f t="shared" si="27"/>
        <v>0.11428199434704593</v>
      </c>
      <c r="G20" s="70">
        <f t="shared" si="27"/>
        <v>0.11899841889437837</v>
      </c>
      <c r="H20" s="70">
        <f t="shared" si="27"/>
        <v>0.1176084099868594</v>
      </c>
      <c r="I20" s="72">
        <v>0.12</v>
      </c>
      <c r="J20" s="73">
        <v>0.12</v>
      </c>
      <c r="K20" s="73">
        <v>0.12</v>
      </c>
      <c r="L20" s="73">
        <v>0.12</v>
      </c>
      <c r="M20" s="73">
        <v>0.12</v>
      </c>
    </row>
    <row r="21" spans="2:13" x14ac:dyDescent="0.25">
      <c r="B21" s="67"/>
      <c r="I21" s="44"/>
    </row>
    <row r="22" spans="2:13" x14ac:dyDescent="0.25">
      <c r="B22" s="49" t="s">
        <v>103</v>
      </c>
      <c r="C22" s="35"/>
      <c r="D22" s="35"/>
      <c r="E22" s="35"/>
      <c r="F22" s="35"/>
      <c r="G22" s="35"/>
      <c r="H22" s="35"/>
      <c r="I22" s="47"/>
      <c r="J22" s="35"/>
      <c r="K22" s="35"/>
      <c r="L22" s="35"/>
      <c r="M22" s="35"/>
    </row>
    <row r="23" spans="2:13" x14ac:dyDescent="0.25">
      <c r="B23" s="67" t="s">
        <v>104</v>
      </c>
      <c r="D23" s="69">
        <f>(D136*-1)/D34</f>
        <v>7.0444314680280312E-2</v>
      </c>
      <c r="E23" s="69">
        <f t="shared" ref="E23:H23" si="28">(E136*-1)/E34</f>
        <v>7.0844280945809412E-2</v>
      </c>
      <c r="F23" s="69">
        <f t="shared" si="28"/>
        <v>6.4291700005207911E-2</v>
      </c>
      <c r="G23" s="69">
        <f t="shared" si="28"/>
        <v>6.9138746173270121E-2</v>
      </c>
      <c r="H23" s="69">
        <f t="shared" si="28"/>
        <v>6.1541830924222517E-2</v>
      </c>
      <c r="I23" s="72">
        <v>7.0000000000000007E-2</v>
      </c>
      <c r="J23" s="73">
        <v>7.0000000000000007E-2</v>
      </c>
      <c r="K23" s="73">
        <v>7.0000000000000007E-2</v>
      </c>
      <c r="L23" s="73">
        <v>7.0000000000000007E-2</v>
      </c>
      <c r="M23" s="73">
        <v>7.0000000000000007E-2</v>
      </c>
    </row>
    <row r="24" spans="2:13" x14ac:dyDescent="0.25">
      <c r="B24" s="67" t="s">
        <v>105</v>
      </c>
      <c r="D24" s="70">
        <f>(D136*-1)/D84</f>
        <v>0.13220027096339443</v>
      </c>
      <c r="E24" s="70">
        <f t="shared" ref="E24:H24" si="29">(E136*-1)/E84</f>
        <v>0.15539483050044403</v>
      </c>
      <c r="F24" s="70">
        <f t="shared" si="29"/>
        <v>0.11481929457940811</v>
      </c>
      <c r="G24" s="70">
        <f t="shared" si="29"/>
        <v>0.10673965104344851</v>
      </c>
      <c r="H24" s="70">
        <f t="shared" si="29"/>
        <v>9.6829772570640932E-2</v>
      </c>
      <c r="I24" s="84">
        <f>AVERAGE(D24:H24)</f>
        <v>0.12119676393146721</v>
      </c>
      <c r="J24" s="85">
        <f t="shared" ref="J24:M24" si="30">AVERAGE(E24:I24)</f>
        <v>0.11899606252508174</v>
      </c>
      <c r="K24" s="85">
        <f t="shared" si="30"/>
        <v>0.11171630893000931</v>
      </c>
      <c r="L24" s="85">
        <f t="shared" si="30"/>
        <v>0.11109571180012953</v>
      </c>
      <c r="M24" s="85">
        <f t="shared" si="30"/>
        <v>0.11196692395146575</v>
      </c>
    </row>
    <row r="25" spans="2:13" x14ac:dyDescent="0.25">
      <c r="B25" s="67"/>
      <c r="I25" s="44"/>
    </row>
    <row r="26" spans="2:13" x14ac:dyDescent="0.25">
      <c r="B26" s="49" t="s">
        <v>106</v>
      </c>
      <c r="C26" s="35"/>
      <c r="D26" s="35"/>
      <c r="E26" s="35"/>
      <c r="F26" s="35"/>
      <c r="G26" s="35"/>
      <c r="H26" s="35"/>
      <c r="I26" s="47"/>
      <c r="J26" s="35"/>
      <c r="K26" s="35"/>
      <c r="L26" s="35"/>
      <c r="M26" s="35"/>
    </row>
    <row r="27" spans="2:13" x14ac:dyDescent="0.25">
      <c r="B27" s="67" t="s">
        <v>107</v>
      </c>
      <c r="D27" s="71">
        <f>D12</f>
        <v>2.6212020897886629E-2</v>
      </c>
      <c r="E27" s="71">
        <f t="shared" ref="E27:H27" si="31">E12</f>
        <v>3.3393723673908693E-2</v>
      </c>
      <c r="F27" s="71">
        <f t="shared" si="31"/>
        <v>4.4852570334901226E-2</v>
      </c>
      <c r="G27" s="71">
        <f t="shared" si="31"/>
        <v>5.5918194640338509E-2</v>
      </c>
      <c r="H27" s="71">
        <f t="shared" si="31"/>
        <v>5.6308654848800835E-2</v>
      </c>
      <c r="I27" s="75">
        <v>0.06</v>
      </c>
      <c r="J27" s="74">
        <v>0.06</v>
      </c>
      <c r="K27" s="74">
        <v>0.06</v>
      </c>
      <c r="L27" s="74">
        <v>0.06</v>
      </c>
      <c r="M27" s="74">
        <v>0.06</v>
      </c>
    </row>
    <row r="28" spans="2:13" x14ac:dyDescent="0.25">
      <c r="B28" s="67" t="s">
        <v>108</v>
      </c>
      <c r="D28" s="70">
        <f>(D147*-1)/D55</f>
        <v>0.21679057642174379</v>
      </c>
      <c r="E28" s="70">
        <f t="shared" ref="E28:H28" si="32">(E147*-1)/E55</f>
        <v>0.14768335179279862</v>
      </c>
      <c r="F28" s="70">
        <f t="shared" si="32"/>
        <v>0.28367029548989114</v>
      </c>
      <c r="G28" s="70">
        <f t="shared" si="32"/>
        <v>1.2538241636992873</v>
      </c>
      <c r="H28" s="70">
        <f t="shared" si="32"/>
        <v>0.62650602409638556</v>
      </c>
      <c r="I28" s="75">
        <v>0.35</v>
      </c>
      <c r="J28" s="74">
        <v>0.35</v>
      </c>
      <c r="K28" s="74">
        <v>0.35</v>
      </c>
      <c r="L28" s="74">
        <v>0.35</v>
      </c>
      <c r="M28" s="74">
        <v>0.35</v>
      </c>
    </row>
    <row r="29" spans="2:13" x14ac:dyDescent="0.25">
      <c r="B29" s="67" t="s">
        <v>118</v>
      </c>
      <c r="D29" s="70"/>
      <c r="E29" s="70"/>
      <c r="F29" s="70"/>
      <c r="G29" s="70"/>
      <c r="H29" s="70"/>
      <c r="I29" s="100">
        <v>0.05</v>
      </c>
      <c r="J29" s="101">
        <v>0.05</v>
      </c>
      <c r="K29" s="101">
        <v>0.05</v>
      </c>
      <c r="L29" s="101">
        <v>0.05</v>
      </c>
      <c r="M29" s="101">
        <v>0.05</v>
      </c>
    </row>
    <row r="30" spans="2:13" x14ac:dyDescent="0.25">
      <c r="B30" s="67" t="s">
        <v>119</v>
      </c>
      <c r="I30" s="100">
        <v>0.37</v>
      </c>
      <c r="J30" s="101">
        <v>0.37</v>
      </c>
      <c r="K30" s="101">
        <v>0.37</v>
      </c>
      <c r="L30" s="101">
        <v>0.37</v>
      </c>
      <c r="M30" s="101">
        <v>0.37</v>
      </c>
    </row>
    <row r="31" spans="2:13" x14ac:dyDescent="0.25">
      <c r="B31" s="67"/>
      <c r="I31" s="100"/>
      <c r="J31" s="101"/>
      <c r="K31" s="101"/>
      <c r="L31" s="101"/>
      <c r="M31" s="101"/>
    </row>
    <row r="32" spans="2:13" x14ac:dyDescent="0.25">
      <c r="B32" s="22" t="s">
        <v>19</v>
      </c>
      <c r="I32" s="44"/>
    </row>
    <row r="33" spans="1:13" x14ac:dyDescent="0.25">
      <c r="B33" s="5" t="s">
        <v>1</v>
      </c>
      <c r="C33" s="5"/>
      <c r="D33" s="6">
        <v>44561</v>
      </c>
      <c r="E33" s="6">
        <f>EOMONTH(D33,12)</f>
        <v>44926</v>
      </c>
      <c r="F33" s="6">
        <f t="shared" ref="F33:M33" si="33">EOMONTH(E33,12)</f>
        <v>45291</v>
      </c>
      <c r="G33" s="6">
        <f t="shared" si="33"/>
        <v>45657</v>
      </c>
      <c r="H33" s="6">
        <f t="shared" si="33"/>
        <v>46022</v>
      </c>
      <c r="I33" s="37">
        <f t="shared" si="33"/>
        <v>46387</v>
      </c>
      <c r="J33" s="7">
        <f t="shared" si="33"/>
        <v>46752</v>
      </c>
      <c r="K33" s="7">
        <f t="shared" si="33"/>
        <v>47118</v>
      </c>
      <c r="L33" s="7">
        <f t="shared" si="33"/>
        <v>47483</v>
      </c>
      <c r="M33" s="7">
        <f t="shared" si="33"/>
        <v>47848</v>
      </c>
    </row>
    <row r="34" spans="1:13" x14ac:dyDescent="0.25">
      <c r="A34" s="3" t="s">
        <v>0</v>
      </c>
      <c r="B34" s="12" t="s">
        <v>2</v>
      </c>
      <c r="D34" s="19">
        <v>3971.3069999999998</v>
      </c>
      <c r="E34" s="19">
        <v>4976.732</v>
      </c>
      <c r="F34" s="19">
        <v>4224.34</v>
      </c>
      <c r="G34" s="19">
        <v>4512.665</v>
      </c>
      <c r="H34" s="19">
        <v>4566</v>
      </c>
      <c r="I34" s="38">
        <f>H34*(1+I6)</f>
        <v>4680.1499999999996</v>
      </c>
      <c r="J34" s="10">
        <f t="shared" ref="J34:M34" si="34">I34*(1+J6)</f>
        <v>4792.4735999999994</v>
      </c>
      <c r="K34" s="10">
        <f t="shared" si="34"/>
        <v>4902.7004927999988</v>
      </c>
      <c r="L34" s="10">
        <f t="shared" si="34"/>
        <v>5010.5599036415988</v>
      </c>
      <c r="M34" s="10">
        <f t="shared" si="34"/>
        <v>5110.7711017144311</v>
      </c>
    </row>
    <row r="35" spans="1:13" x14ac:dyDescent="0.25">
      <c r="B35" s="12"/>
      <c r="D35" s="25"/>
      <c r="E35" s="25"/>
      <c r="F35" s="10"/>
      <c r="G35" s="10"/>
      <c r="H35" s="10"/>
      <c r="I35" s="38"/>
      <c r="J35" s="10"/>
      <c r="K35" s="10"/>
      <c r="L35" s="10"/>
      <c r="M35" s="10"/>
    </row>
    <row r="36" spans="1:13" x14ac:dyDescent="0.25">
      <c r="B36" s="13" t="s">
        <v>3</v>
      </c>
      <c r="C36" s="8"/>
      <c r="D36" s="20">
        <v>-2532.107</v>
      </c>
      <c r="E36" s="20">
        <v>-3029.4340000000002</v>
      </c>
      <c r="F36" s="20">
        <v>-2611.7330000000002</v>
      </c>
      <c r="G36" s="20">
        <v>-2902.2330000000002</v>
      </c>
      <c r="H36" s="20">
        <v>-2963</v>
      </c>
      <c r="I36" s="39">
        <f>-1*I34*I7</f>
        <v>-2954.7056704147831</v>
      </c>
      <c r="J36" s="11">
        <f t="shared" ref="J36:M36" si="35">-1*J34*J7</f>
        <v>-3019.6056944567549</v>
      </c>
      <c r="K36" s="11">
        <f t="shared" si="35"/>
        <v>-3109.9940354758824</v>
      </c>
      <c r="L36" s="11">
        <f t="shared" si="35"/>
        <v>-3194.5326988367451</v>
      </c>
      <c r="M36" s="11">
        <f t="shared" si="35"/>
        <v>-3252.72935481372</v>
      </c>
    </row>
    <row r="37" spans="1:13" x14ac:dyDescent="0.25">
      <c r="B37" s="12" t="s">
        <v>4</v>
      </c>
      <c r="D37" s="17">
        <f>SUM(D34:D36)</f>
        <v>1439.1999999999998</v>
      </c>
      <c r="E37" s="17">
        <f>SUM(E34:E36)</f>
        <v>1947.2979999999998</v>
      </c>
      <c r="F37" s="17">
        <f t="shared" ref="F37:M37" si="36">SUM(F34:F36)</f>
        <v>1612.607</v>
      </c>
      <c r="G37" s="17">
        <f t="shared" si="36"/>
        <v>1610.4319999999998</v>
      </c>
      <c r="H37" s="17">
        <f t="shared" si="36"/>
        <v>1603</v>
      </c>
      <c r="I37" s="40">
        <f t="shared" si="36"/>
        <v>1725.4443295852166</v>
      </c>
      <c r="J37" s="23">
        <f t="shared" si="36"/>
        <v>1772.8679055432444</v>
      </c>
      <c r="K37" s="23">
        <f t="shared" si="36"/>
        <v>1792.7064573241164</v>
      </c>
      <c r="L37" s="23">
        <f t="shared" si="36"/>
        <v>1816.0272048048537</v>
      </c>
      <c r="M37" s="23">
        <f t="shared" si="36"/>
        <v>1858.0417469007111</v>
      </c>
    </row>
    <row r="38" spans="1:13" x14ac:dyDescent="0.25">
      <c r="B38" s="4"/>
      <c r="D38" s="25"/>
      <c r="E38" s="26"/>
      <c r="F38" s="10"/>
      <c r="G38" s="10"/>
      <c r="H38" s="10"/>
      <c r="I38" s="38"/>
      <c r="J38" s="10"/>
      <c r="K38" s="10"/>
      <c r="L38" s="10"/>
      <c r="M38" s="10"/>
    </row>
    <row r="39" spans="1:13" x14ac:dyDescent="0.25">
      <c r="B39" s="14" t="s">
        <v>5</v>
      </c>
      <c r="D39" s="19">
        <v>56.555</v>
      </c>
      <c r="E39" s="19">
        <v>66.753</v>
      </c>
      <c r="F39" s="19">
        <v>88.960999999999999</v>
      </c>
      <c r="G39" s="19">
        <v>137.37899999999999</v>
      </c>
      <c r="H39" s="19">
        <v>148</v>
      </c>
      <c r="I39" s="38">
        <f>I34*I8</f>
        <v>163.80525</v>
      </c>
      <c r="J39" s="10">
        <f t="shared" ref="J39:M39" si="37">J34*J8</f>
        <v>167.73657599999999</v>
      </c>
      <c r="K39" s="10">
        <f t="shared" si="37"/>
        <v>147.08101478399996</v>
      </c>
      <c r="L39" s="10">
        <f t="shared" si="37"/>
        <v>155.32735701288956</v>
      </c>
      <c r="M39" s="10">
        <f t="shared" si="37"/>
        <v>127.76927754286078</v>
      </c>
    </row>
    <row r="40" spans="1:13" x14ac:dyDescent="0.25">
      <c r="B40" s="14" t="s">
        <v>6</v>
      </c>
      <c r="D40" s="19">
        <v>-706.92899999999997</v>
      </c>
      <c r="E40" s="19">
        <v>-859.01800000000003</v>
      </c>
      <c r="F40" s="19">
        <v>-783.22199999999998</v>
      </c>
      <c r="G40" s="19">
        <v>-885.47299999999996</v>
      </c>
      <c r="H40" s="19">
        <v>-910</v>
      </c>
      <c r="I40" s="38">
        <f t="shared" ref="I40:M41" si="38">-1*I$34*I9</f>
        <v>-936.03</v>
      </c>
      <c r="J40" s="10">
        <f t="shared" si="38"/>
        <v>-958.49471999999992</v>
      </c>
      <c r="K40" s="10">
        <f t="shared" si="38"/>
        <v>-980.54009855999982</v>
      </c>
      <c r="L40" s="10">
        <f t="shared" si="38"/>
        <v>-1002.1119807283198</v>
      </c>
      <c r="M40" s="10">
        <f t="shared" si="38"/>
        <v>-1022.1542203428862</v>
      </c>
    </row>
    <row r="41" spans="1:13" x14ac:dyDescent="0.25">
      <c r="B41" s="14" t="s">
        <v>7</v>
      </c>
      <c r="D41" s="19">
        <v>-275.48899999999998</v>
      </c>
      <c r="E41" s="19">
        <v>-327.79500000000002</v>
      </c>
      <c r="F41" s="19">
        <v>-330.59399999999999</v>
      </c>
      <c r="G41" s="19">
        <v>-357.27600000000001</v>
      </c>
      <c r="H41" s="19">
        <v>-364</v>
      </c>
      <c r="I41" s="38">
        <f t="shared" si="38"/>
        <v>-374.41199999999998</v>
      </c>
      <c r="J41" s="10">
        <f t="shared" si="38"/>
        <v>-383.39788799999997</v>
      </c>
      <c r="K41" s="10">
        <f t="shared" si="38"/>
        <v>-392.21603942399992</v>
      </c>
      <c r="L41" s="10">
        <f t="shared" si="38"/>
        <v>-400.84479229132791</v>
      </c>
      <c r="M41" s="10">
        <f t="shared" si="38"/>
        <v>-408.86168813715449</v>
      </c>
    </row>
    <row r="42" spans="1:13" x14ac:dyDescent="0.25">
      <c r="B42" s="14" t="s">
        <v>8</v>
      </c>
      <c r="D42" s="19">
        <v>-10.747</v>
      </c>
      <c r="E42" s="19">
        <v>-18.388999999999999</v>
      </c>
      <c r="F42" s="19">
        <v>-17.341999999999999</v>
      </c>
      <c r="G42" s="19">
        <v>-50.628999999999998</v>
      </c>
      <c r="H42" s="19">
        <v>-13</v>
      </c>
      <c r="I42" s="86" t="s">
        <v>93</v>
      </c>
      <c r="J42" s="87" t="s">
        <v>93</v>
      </c>
      <c r="K42" s="87" t="s">
        <v>93</v>
      </c>
      <c r="L42" s="87" t="s">
        <v>93</v>
      </c>
      <c r="M42" s="87" t="s">
        <v>93</v>
      </c>
    </row>
    <row r="43" spans="1:13" x14ac:dyDescent="0.25">
      <c r="B43" s="14" t="s">
        <v>9</v>
      </c>
      <c r="D43" s="19">
        <v>-82.153000000000006</v>
      </c>
      <c r="E43" s="19">
        <v>-87.656000000000006</v>
      </c>
      <c r="F43" s="19">
        <v>-93.100999999999999</v>
      </c>
      <c r="G43" s="19">
        <v>-160.32900000000001</v>
      </c>
      <c r="H43" s="19">
        <v>-132</v>
      </c>
      <c r="I43" s="38">
        <f>-1*I34*I11</f>
        <v>-140.40449999999998</v>
      </c>
      <c r="J43" s="11">
        <f t="shared" ref="J43:M43" si="39">-1*J34*J11</f>
        <v>-143.77420799999999</v>
      </c>
      <c r="K43" s="11">
        <f t="shared" si="39"/>
        <v>-147.08101478399996</v>
      </c>
      <c r="L43" s="11">
        <f t="shared" si="39"/>
        <v>-150.31679710924797</v>
      </c>
      <c r="M43" s="10">
        <f t="shared" si="39"/>
        <v>-153.32313305143293</v>
      </c>
    </row>
    <row r="44" spans="1:13" x14ac:dyDescent="0.25">
      <c r="B44" s="15" t="s">
        <v>15</v>
      </c>
      <c r="C44" s="9"/>
      <c r="D44" s="24">
        <f t="shared" ref="D44:M44" si="40">SUM(D37:D43)</f>
        <v>420.43699999999995</v>
      </c>
      <c r="E44" s="24">
        <f t="shared" si="40"/>
        <v>721.19299999999953</v>
      </c>
      <c r="F44" s="24">
        <f t="shared" si="40"/>
        <v>477.30899999999997</v>
      </c>
      <c r="G44" s="24">
        <f t="shared" si="40"/>
        <v>294.1039999999997</v>
      </c>
      <c r="H44" s="24">
        <f t="shared" si="40"/>
        <v>332</v>
      </c>
      <c r="I44" s="41">
        <f t="shared" si="40"/>
        <v>438.40307958521646</v>
      </c>
      <c r="J44" s="17">
        <f t="shared" si="40"/>
        <v>454.93766554324458</v>
      </c>
      <c r="K44" s="17">
        <f t="shared" si="40"/>
        <v>419.95031934011672</v>
      </c>
      <c r="L44" s="17">
        <f t="shared" si="40"/>
        <v>418.08099168884746</v>
      </c>
      <c r="M44" s="24">
        <f t="shared" si="40"/>
        <v>401.47198291209838</v>
      </c>
    </row>
    <row r="45" spans="1:13" x14ac:dyDescent="0.25">
      <c r="B45" s="4"/>
      <c r="D45" s="25"/>
      <c r="E45" s="25"/>
      <c r="F45" s="10"/>
      <c r="G45" s="10"/>
      <c r="H45" s="10"/>
      <c r="I45" s="38"/>
      <c r="J45" s="10"/>
      <c r="K45" s="10"/>
      <c r="L45" s="10"/>
      <c r="M45" s="10"/>
    </row>
    <row r="46" spans="1:13" x14ac:dyDescent="0.25">
      <c r="B46" s="14" t="s">
        <v>10</v>
      </c>
      <c r="D46" s="19">
        <v>2.3759999999999999</v>
      </c>
      <c r="E46" s="19">
        <v>6.234</v>
      </c>
      <c r="F46" s="19">
        <v>20.172000000000001</v>
      </c>
      <c r="G46" s="19">
        <v>18.542999999999999</v>
      </c>
      <c r="H46" s="19">
        <v>10</v>
      </c>
      <c r="I46" s="38">
        <f>H77*I12</f>
        <v>8.52</v>
      </c>
      <c r="J46" s="10">
        <f>I77*J12</f>
        <v>14.053050903620683</v>
      </c>
      <c r="K46" s="10">
        <f>J77*K12</f>
        <v>16.60108197329744</v>
      </c>
      <c r="L46" s="10">
        <f>K77*L12</f>
        <v>0</v>
      </c>
      <c r="M46" s="10">
        <f>L77*M12</f>
        <v>19.313790711980047</v>
      </c>
    </row>
    <row r="47" spans="1:13" x14ac:dyDescent="0.25">
      <c r="B47" s="14" t="s">
        <v>11</v>
      </c>
      <c r="D47" s="19">
        <v>-40.343000000000004</v>
      </c>
      <c r="E47" s="19">
        <v>-48.494999999999997</v>
      </c>
      <c r="F47" s="19">
        <v>-76.304000000000002</v>
      </c>
      <c r="G47" s="19">
        <v>-118.938</v>
      </c>
      <c r="H47" s="19">
        <v>-108</v>
      </c>
      <c r="I47" s="38">
        <f>-1*(H100+H95)*I12</f>
        <v>-76.72</v>
      </c>
      <c r="J47" s="10">
        <f t="shared" ref="J47:M47" si="41">-1*(I100+I95)*J12</f>
        <v>-73.556000000000012</v>
      </c>
      <c r="K47" s="10">
        <f t="shared" si="41"/>
        <v>-70.550200000000004</v>
      </c>
      <c r="L47" s="10">
        <f t="shared" si="41"/>
        <v>-67.694690000000008</v>
      </c>
      <c r="M47" s="10">
        <f t="shared" si="41"/>
        <v>-64.981955499999998</v>
      </c>
    </row>
    <row r="48" spans="1:13" x14ac:dyDescent="0.25">
      <c r="B48" s="13" t="s">
        <v>18</v>
      </c>
      <c r="C48" s="8"/>
      <c r="D48" s="20">
        <v>-8.1969999999999992</v>
      </c>
      <c r="E48" s="20">
        <v>9.4139999999999997</v>
      </c>
      <c r="F48" s="20">
        <v>3.1459999999999999</v>
      </c>
      <c r="G48" s="20">
        <v>-42.415999999999997</v>
      </c>
      <c r="H48" s="20">
        <v>-1</v>
      </c>
      <c r="I48" s="88" t="s">
        <v>93</v>
      </c>
      <c r="J48" s="89" t="s">
        <v>93</v>
      </c>
      <c r="K48" s="89" t="s">
        <v>93</v>
      </c>
      <c r="L48" s="89" t="s">
        <v>93</v>
      </c>
      <c r="M48" s="89" t="s">
        <v>93</v>
      </c>
    </row>
    <row r="49" spans="1:13" x14ac:dyDescent="0.25">
      <c r="B49" s="12" t="s">
        <v>12</v>
      </c>
      <c r="D49" s="17">
        <f>SUM(D44:D48)</f>
        <v>374.27299999999991</v>
      </c>
      <c r="E49" s="17">
        <f>SUM(E44:E48)</f>
        <v>688.34599999999955</v>
      </c>
      <c r="F49" s="17">
        <f>SUM(F44:F48)</f>
        <v>424.32300000000004</v>
      </c>
      <c r="G49" s="17">
        <f t="shared" ref="G49:M49" si="42">SUM(G44:G48)</f>
        <v>151.29299999999972</v>
      </c>
      <c r="H49" s="17">
        <f t="shared" si="42"/>
        <v>233</v>
      </c>
      <c r="I49" s="42">
        <f t="shared" si="42"/>
        <v>370.20307958521641</v>
      </c>
      <c r="J49" s="17">
        <f t="shared" si="42"/>
        <v>395.4347164468652</v>
      </c>
      <c r="K49" s="17">
        <f t="shared" si="42"/>
        <v>366.00120131341413</v>
      </c>
      <c r="L49" s="17">
        <f t="shared" si="42"/>
        <v>350.38630168884742</v>
      </c>
      <c r="M49" s="17">
        <f t="shared" si="42"/>
        <v>355.80381812407848</v>
      </c>
    </row>
    <row r="50" spans="1:13" x14ac:dyDescent="0.25">
      <c r="B50" s="12"/>
      <c r="D50" s="25"/>
      <c r="E50" s="25"/>
      <c r="F50" s="10"/>
      <c r="G50" s="10"/>
      <c r="H50" s="10"/>
      <c r="I50" s="38"/>
      <c r="J50" s="10"/>
      <c r="K50" s="10"/>
      <c r="L50" s="10"/>
      <c r="M50" s="10"/>
    </row>
    <row r="51" spans="1:13" x14ac:dyDescent="0.25">
      <c r="B51" s="14" t="s">
        <v>13</v>
      </c>
      <c r="D51" s="19">
        <v>-62.203000000000003</v>
      </c>
      <c r="E51" s="19">
        <v>-119.8</v>
      </c>
      <c r="F51" s="19">
        <v>-89.207999999999998</v>
      </c>
      <c r="G51" s="19">
        <v>-66.984999999999999</v>
      </c>
      <c r="H51" s="19">
        <v>-65</v>
      </c>
      <c r="I51" s="38">
        <f>(I49*I13)*-1</f>
        <v>-103.27553722334362</v>
      </c>
      <c r="J51" s="10">
        <f t="shared" ref="J51:M51" si="43">(J49*J13)*-1</f>
        <v>-110.31440587573492</v>
      </c>
      <c r="K51" s="10">
        <f t="shared" si="43"/>
        <v>-102.10333942219707</v>
      </c>
      <c r="L51" s="10">
        <f t="shared" si="43"/>
        <v>-97.747251544099058</v>
      </c>
      <c r="M51" s="10">
        <f t="shared" si="43"/>
        <v>-99.25857587152403</v>
      </c>
    </row>
    <row r="52" spans="1:13" x14ac:dyDescent="0.25">
      <c r="B52" s="14"/>
      <c r="D52" s="19"/>
      <c r="E52" s="25"/>
      <c r="F52" s="10"/>
      <c r="G52" s="10"/>
      <c r="H52" s="10"/>
      <c r="I52" s="38"/>
      <c r="J52" s="10"/>
      <c r="K52" s="10"/>
      <c r="L52" s="10"/>
      <c r="M52" s="10"/>
    </row>
    <row r="53" spans="1:13" x14ac:dyDescent="0.25">
      <c r="B53" s="12" t="s">
        <v>14</v>
      </c>
      <c r="D53" s="17">
        <f t="shared" ref="D53:E53" si="44">SUM(D49:D52)</f>
        <v>312.06999999999994</v>
      </c>
      <c r="E53" s="17">
        <f t="shared" si="44"/>
        <v>568.54599999999959</v>
      </c>
      <c r="F53" s="17">
        <f>SUM(F49:F52)</f>
        <v>335.11500000000001</v>
      </c>
      <c r="G53" s="17">
        <f t="shared" ref="G53:M53" si="45">SUM(G49:G52)</f>
        <v>84.307999999999723</v>
      </c>
      <c r="H53" s="17">
        <f t="shared" si="45"/>
        <v>168</v>
      </c>
      <c r="I53" s="42">
        <f t="shared" si="45"/>
        <v>266.92754236187278</v>
      </c>
      <c r="J53" s="17">
        <f t="shared" si="45"/>
        <v>285.12031057113029</v>
      </c>
      <c r="K53" s="17">
        <f t="shared" si="45"/>
        <v>263.89786189121708</v>
      </c>
      <c r="L53" s="17">
        <f t="shared" si="45"/>
        <v>252.63905014474835</v>
      </c>
      <c r="M53" s="17">
        <f t="shared" si="45"/>
        <v>256.54524225255443</v>
      </c>
    </row>
    <row r="54" spans="1:13" x14ac:dyDescent="0.25">
      <c r="B54" s="14" t="s">
        <v>20</v>
      </c>
      <c r="D54" s="19">
        <v>-1.36</v>
      </c>
      <c r="E54" s="19">
        <v>-0.63500000000000001</v>
      </c>
      <c r="F54" s="19">
        <v>-0.755</v>
      </c>
      <c r="G54" s="20">
        <v>-4.5519999999999996</v>
      </c>
      <c r="H54" s="19">
        <v>-2</v>
      </c>
      <c r="I54" s="39"/>
      <c r="J54" s="11"/>
      <c r="K54" s="11"/>
      <c r="L54" s="11"/>
      <c r="M54" s="11"/>
    </row>
    <row r="55" spans="1:13" x14ac:dyDescent="0.25">
      <c r="B55" s="15" t="s">
        <v>16</v>
      </c>
      <c r="C55" s="9"/>
      <c r="D55" s="16">
        <f t="shared" ref="D55:E55" si="46">SUM(D53:D54)</f>
        <v>310.70999999999992</v>
      </c>
      <c r="E55" s="16">
        <f t="shared" si="46"/>
        <v>567.9109999999996</v>
      </c>
      <c r="F55" s="16">
        <f>SUM(F53:F54)</f>
        <v>334.36</v>
      </c>
      <c r="G55" s="16">
        <f>SUM(G53:G54)</f>
        <v>79.755999999999716</v>
      </c>
      <c r="H55" s="16">
        <f t="shared" ref="H55:M55" si="47">SUM(H53:H54)</f>
        <v>166</v>
      </c>
      <c r="I55" s="43">
        <f>SUM(I53:I54)</f>
        <v>266.92754236187278</v>
      </c>
      <c r="J55" s="16">
        <f t="shared" si="47"/>
        <v>285.12031057113029</v>
      </c>
      <c r="K55" s="16">
        <f t="shared" si="47"/>
        <v>263.89786189121708</v>
      </c>
      <c r="L55" s="16">
        <f t="shared" si="47"/>
        <v>252.63905014474835</v>
      </c>
      <c r="M55" s="16">
        <f t="shared" si="47"/>
        <v>256.54524225255443</v>
      </c>
    </row>
    <row r="56" spans="1:13" x14ac:dyDescent="0.25">
      <c r="F56" s="18"/>
      <c r="I56" s="44"/>
    </row>
    <row r="57" spans="1:13" x14ac:dyDescent="0.25">
      <c r="F57" s="18"/>
      <c r="I57" s="44"/>
    </row>
    <row r="58" spans="1:13" x14ac:dyDescent="0.25">
      <c r="A58" s="3" t="s">
        <v>0</v>
      </c>
      <c r="B58" s="5" t="s">
        <v>21</v>
      </c>
      <c r="C58" s="5"/>
      <c r="D58" s="6">
        <v>44561</v>
      </c>
      <c r="E58" s="6">
        <f>EOMONTH(D58,12)</f>
        <v>44926</v>
      </c>
      <c r="F58" s="6">
        <f t="shared" ref="F58" si="48">EOMONTH(E58,12)</f>
        <v>45291</v>
      </c>
      <c r="G58" s="6">
        <f t="shared" ref="G58" si="49">EOMONTH(F58,12)</f>
        <v>45657</v>
      </c>
      <c r="H58" s="6">
        <f t="shared" ref="H58" si="50">EOMONTH(G58,12)</f>
        <v>46022</v>
      </c>
      <c r="I58" s="37">
        <f t="shared" ref="I58" si="51">EOMONTH(H58,12)</f>
        <v>46387</v>
      </c>
      <c r="J58" s="7">
        <f t="shared" ref="J58" si="52">EOMONTH(I58,12)</f>
        <v>46752</v>
      </c>
      <c r="K58" s="7">
        <f t="shared" ref="K58" si="53">EOMONTH(J58,12)</f>
        <v>47118</v>
      </c>
      <c r="L58" s="7">
        <f t="shared" ref="L58" si="54">EOMONTH(K58,12)</f>
        <v>47483</v>
      </c>
      <c r="M58" s="7">
        <f t="shared" ref="M58" si="55">EOMONTH(L58,12)</f>
        <v>47848</v>
      </c>
    </row>
    <row r="59" spans="1:13" x14ac:dyDescent="0.25">
      <c r="B59" s="46" t="s">
        <v>22</v>
      </c>
      <c r="C59" s="35"/>
      <c r="D59" s="35"/>
      <c r="E59" s="35"/>
      <c r="F59" s="36"/>
      <c r="G59" s="35"/>
      <c r="H59" s="35"/>
      <c r="I59" s="47"/>
      <c r="J59" s="35"/>
      <c r="K59" s="35"/>
      <c r="L59" s="35"/>
      <c r="M59" s="35"/>
    </row>
    <row r="60" spans="1:13" x14ac:dyDescent="0.25">
      <c r="B60" s="27" t="s">
        <v>34</v>
      </c>
      <c r="D60" s="63">
        <f>D78</f>
        <v>343.416</v>
      </c>
      <c r="E60" s="63">
        <f t="shared" ref="E60:H60" si="56">E78</f>
        <v>374.51400000000001</v>
      </c>
      <c r="F60" s="63">
        <f t="shared" si="56"/>
        <v>306.77999999999997</v>
      </c>
      <c r="G60" s="63">
        <f t="shared" si="56"/>
        <v>345</v>
      </c>
      <c r="H60" s="63">
        <f t="shared" si="56"/>
        <v>248</v>
      </c>
      <c r="I60" s="80">
        <f>(I16/365)*I34</f>
        <v>341.7588659860545</v>
      </c>
      <c r="J60" s="63">
        <f t="shared" ref="J60:M60" si="57">(J16/365)*J34</f>
        <v>337.06813284678515</v>
      </c>
      <c r="K60" s="63">
        <f t="shared" si="57"/>
        <v>339.99625844571813</v>
      </c>
      <c r="L60" s="63">
        <f t="shared" si="57"/>
        <v>344.19603971448709</v>
      </c>
      <c r="M60" s="63">
        <f t="shared" si="57"/>
        <v>343.15073110211193</v>
      </c>
    </row>
    <row r="61" spans="1:13" x14ac:dyDescent="0.25">
      <c r="B61" s="27" t="s">
        <v>31</v>
      </c>
      <c r="D61" s="63">
        <f>D79</f>
        <v>883.30100000000004</v>
      </c>
      <c r="E61" s="63">
        <f t="shared" ref="E61:H61" si="58">E79</f>
        <v>1036.211</v>
      </c>
      <c r="F61" s="63">
        <f t="shared" si="58"/>
        <v>1153.7629999999999</v>
      </c>
      <c r="G61" s="63">
        <f t="shared" si="58"/>
        <v>1341</v>
      </c>
      <c r="H61" s="63">
        <f t="shared" si="58"/>
        <v>1329</v>
      </c>
      <c r="I61" s="80">
        <f>(I17/365)*I34</f>
        <v>1209.3344398620839</v>
      </c>
      <c r="J61" s="63">
        <f t="shared" ref="J61:M61" si="59">(J17/365)*J34</f>
        <v>1272.8410648602712</v>
      </c>
      <c r="K61" s="63">
        <f t="shared" si="59"/>
        <v>1358.3803279959668</v>
      </c>
      <c r="L61" s="63">
        <f t="shared" si="59"/>
        <v>1392.2181391328741</v>
      </c>
      <c r="M61" s="63">
        <f t="shared" si="59"/>
        <v>1400.3279239137346</v>
      </c>
    </row>
    <row r="62" spans="1:13" x14ac:dyDescent="0.25">
      <c r="B62" s="27" t="s">
        <v>32</v>
      </c>
      <c r="D62" s="63">
        <f>-D94</f>
        <v>-423.07799999999997</v>
      </c>
      <c r="E62" s="63">
        <f t="shared" ref="E62:H62" si="60">-E94</f>
        <v>-439.56700000000001</v>
      </c>
      <c r="F62" s="63">
        <f t="shared" si="60"/>
        <v>-330.07400000000001</v>
      </c>
      <c r="G62" s="63">
        <f t="shared" si="60"/>
        <v>-418</v>
      </c>
      <c r="H62" s="63">
        <f t="shared" si="60"/>
        <v>-454</v>
      </c>
      <c r="I62" s="90">
        <f>((I18/365)*I34)*-1</f>
        <v>-435.30366697432038</v>
      </c>
      <c r="J62" s="63">
        <f t="shared" ref="J62:M62" si="61">((J18/365)*J34)*-1</f>
        <v>-432.78916391567606</v>
      </c>
      <c r="K62" s="63">
        <f t="shared" si="61"/>
        <v>-444.68633570691895</v>
      </c>
      <c r="L62" s="63">
        <f t="shared" si="61"/>
        <v>-467.06207033508565</v>
      </c>
      <c r="M62" s="63">
        <f t="shared" si="61"/>
        <v>-477.00367672631972</v>
      </c>
    </row>
    <row r="63" spans="1:13" x14ac:dyDescent="0.25">
      <c r="B63" s="32" t="s">
        <v>33</v>
      </c>
      <c r="C63" s="9"/>
      <c r="D63" s="64">
        <f>SUM(D60:D62)</f>
        <v>803.63900000000012</v>
      </c>
      <c r="E63" s="64">
        <f t="shared" ref="E63:H63" si="62">SUM(E60:E62)</f>
        <v>971.1579999999999</v>
      </c>
      <c r="F63" s="64">
        <f t="shared" si="62"/>
        <v>1130.4689999999998</v>
      </c>
      <c r="G63" s="64">
        <f t="shared" si="62"/>
        <v>1268</v>
      </c>
      <c r="H63" s="64">
        <f t="shared" si="62"/>
        <v>1123</v>
      </c>
      <c r="I63" s="91">
        <f t="shared" ref="I63" si="63">SUM(I60:I62)</f>
        <v>1115.7896388738179</v>
      </c>
      <c r="J63" s="64">
        <f t="shared" ref="J63" si="64">SUM(J60:J62)</f>
        <v>1177.1200337913804</v>
      </c>
      <c r="K63" s="64">
        <f t="shared" ref="K63" si="65">SUM(K60:K62)</f>
        <v>1253.6902507347661</v>
      </c>
      <c r="L63" s="64">
        <f t="shared" ref="L63" si="66">SUM(L60:L62)</f>
        <v>1269.3521085122757</v>
      </c>
      <c r="M63" s="64">
        <f t="shared" ref="M63" si="67">SUM(M60:M62)</f>
        <v>1266.4749782895267</v>
      </c>
    </row>
    <row r="64" spans="1:13" x14ac:dyDescent="0.25">
      <c r="B64" s="45" t="s">
        <v>23</v>
      </c>
      <c r="D64" s="65" t="s">
        <v>93</v>
      </c>
      <c r="E64" s="63">
        <f>E63-D63</f>
        <v>167.51899999999978</v>
      </c>
      <c r="F64" s="63">
        <f t="shared" ref="F64:H64" si="68">F63-E63</f>
        <v>159.31099999999992</v>
      </c>
      <c r="G64" s="63">
        <f t="shared" si="68"/>
        <v>137.53100000000018</v>
      </c>
      <c r="H64" s="63">
        <f t="shared" si="68"/>
        <v>-145</v>
      </c>
      <c r="I64" s="80">
        <f t="shared" ref="I64" si="69">I63-H63</f>
        <v>-7.2103611261820788</v>
      </c>
      <c r="J64" s="63">
        <f t="shared" ref="J64" si="70">J63-I63</f>
        <v>61.330394917562444</v>
      </c>
      <c r="K64" s="63">
        <f t="shared" ref="K64" si="71">K63-J63</f>
        <v>76.570216943385731</v>
      </c>
      <c r="L64" s="63">
        <f t="shared" ref="L64" si="72">L63-K63</f>
        <v>15.661857777509567</v>
      </c>
      <c r="M64" s="63">
        <f t="shared" ref="M64" si="73">M63-L63</f>
        <v>-2.8771302227489741</v>
      </c>
    </row>
    <row r="65" spans="1:13" x14ac:dyDescent="0.25">
      <c r="F65" s="18"/>
      <c r="I65" s="44"/>
    </row>
    <row r="66" spans="1:13" x14ac:dyDescent="0.25">
      <c r="B66" s="46" t="s">
        <v>24</v>
      </c>
      <c r="C66" s="35"/>
      <c r="D66" s="35"/>
      <c r="E66" s="35"/>
      <c r="F66" s="36"/>
      <c r="G66" s="35"/>
      <c r="H66" s="35"/>
      <c r="I66" s="47"/>
      <c r="J66" s="35"/>
      <c r="K66" s="35"/>
      <c r="L66" s="35"/>
      <c r="M66" s="35"/>
    </row>
    <row r="67" spans="1:13" x14ac:dyDescent="0.25">
      <c r="B67" s="27" t="s">
        <v>94</v>
      </c>
      <c r="D67" s="63">
        <f>D84</f>
        <v>2116.1529999999998</v>
      </c>
      <c r="E67" s="63">
        <f t="shared" ref="E67:H67" si="74">E84</f>
        <v>2268.8850000000002</v>
      </c>
      <c r="F67" s="63">
        <f t="shared" si="74"/>
        <v>2365.3690000000001</v>
      </c>
      <c r="G67" s="63">
        <f t="shared" si="74"/>
        <v>2923</v>
      </c>
      <c r="H67" s="63">
        <f t="shared" si="74"/>
        <v>2902</v>
      </c>
      <c r="I67" s="80">
        <f>H84</f>
        <v>2902</v>
      </c>
      <c r="J67" s="63">
        <f>I70</f>
        <v>2877.8974910708821</v>
      </c>
      <c r="K67" s="63">
        <f>J70</f>
        <v>2870.9121732826356</v>
      </c>
      <c r="L67" s="63">
        <f>K70</f>
        <v>2893.373496517268</v>
      </c>
      <c r="M67" s="63">
        <f t="shared" ref="M67" si="75">L70</f>
        <v>2922.6713016729641</v>
      </c>
    </row>
    <row r="68" spans="1:13" x14ac:dyDescent="0.25">
      <c r="B68" s="29" t="s">
        <v>25</v>
      </c>
      <c r="D68" s="63">
        <f>D136*-1</f>
        <v>279.75599999999997</v>
      </c>
      <c r="E68" s="63">
        <f t="shared" ref="E68:H68" si="76">E136*-1</f>
        <v>352.57299999999998</v>
      </c>
      <c r="F68" s="63">
        <f t="shared" si="76"/>
        <v>271.58999999999997</v>
      </c>
      <c r="G68" s="63">
        <f t="shared" si="76"/>
        <v>312</v>
      </c>
      <c r="H68" s="63">
        <f t="shared" si="76"/>
        <v>281</v>
      </c>
      <c r="I68" s="80">
        <f>I34*I23</f>
        <v>327.6105</v>
      </c>
      <c r="J68" s="63">
        <f t="shared" ref="J68:M68" si="77">J34*J23</f>
        <v>335.47315199999997</v>
      </c>
      <c r="K68" s="63">
        <f t="shared" si="77"/>
        <v>343.18903449599992</v>
      </c>
      <c r="L68" s="63">
        <f t="shared" si="77"/>
        <v>350.73919325491192</v>
      </c>
      <c r="M68" s="63">
        <f t="shared" si="77"/>
        <v>357.75397712001023</v>
      </c>
    </row>
    <row r="69" spans="1:13" x14ac:dyDescent="0.25">
      <c r="B69" s="29" t="s">
        <v>26</v>
      </c>
      <c r="D69" s="63">
        <f>D122*-1</f>
        <v>-251.23699999999999</v>
      </c>
      <c r="E69" s="63">
        <f t="shared" ref="E69:H69" si="78">E122*-1</f>
        <v>-276.25700000000001</v>
      </c>
      <c r="F69" s="63">
        <f t="shared" si="78"/>
        <v>-286.791</v>
      </c>
      <c r="G69" s="63">
        <f t="shared" si="78"/>
        <v>-362</v>
      </c>
      <c r="H69" s="63">
        <f t="shared" si="78"/>
        <v>-377</v>
      </c>
      <c r="I69" s="90">
        <f>-1*I67*I24</f>
        <v>-351.71300892911785</v>
      </c>
      <c r="J69" s="92">
        <f t="shared" ref="J69:M69" si="79">-1*J67*J24</f>
        <v>-342.45846978824653</v>
      </c>
      <c r="K69" s="92">
        <f t="shared" si="79"/>
        <v>-320.72771126136735</v>
      </c>
      <c r="L69" s="92">
        <f t="shared" si="79"/>
        <v>-321.44138809921549</v>
      </c>
      <c r="M69" s="63">
        <f t="shared" si="79"/>
        <v>-327.24251536954819</v>
      </c>
    </row>
    <row r="70" spans="1:13" x14ac:dyDescent="0.25">
      <c r="B70" s="33" t="s">
        <v>27</v>
      </c>
      <c r="C70" s="34"/>
      <c r="D70" s="66">
        <f>SUM(D67:D69)</f>
        <v>2144.6719999999996</v>
      </c>
      <c r="E70" s="66">
        <f t="shared" ref="E70:H70" si="80">SUM(E67:E69)</f>
        <v>2345.201</v>
      </c>
      <c r="F70" s="66">
        <f t="shared" si="80"/>
        <v>2350.1680000000001</v>
      </c>
      <c r="G70" s="66">
        <f t="shared" si="80"/>
        <v>2873</v>
      </c>
      <c r="H70" s="66">
        <f t="shared" si="80"/>
        <v>2806</v>
      </c>
      <c r="I70" s="40">
        <f>SUM(I67:I69)</f>
        <v>2877.8974910708821</v>
      </c>
      <c r="J70" s="23">
        <f t="shared" ref="J70:M70" si="81">SUM(J67:J69)</f>
        <v>2870.9121732826356</v>
      </c>
      <c r="K70" s="23">
        <f t="shared" si="81"/>
        <v>2893.373496517268</v>
      </c>
      <c r="L70" s="23">
        <f t="shared" si="81"/>
        <v>2922.6713016729641</v>
      </c>
      <c r="M70" s="66">
        <f t="shared" si="81"/>
        <v>2953.1827634234264</v>
      </c>
    </row>
    <row r="71" spans="1:13" x14ac:dyDescent="0.25">
      <c r="B71" s="29"/>
      <c r="F71" s="18"/>
      <c r="I71" s="44"/>
    </row>
    <row r="72" spans="1:13" x14ac:dyDescent="0.25">
      <c r="B72" s="29"/>
      <c r="F72" s="18"/>
      <c r="I72" s="44"/>
    </row>
    <row r="73" spans="1:13" x14ac:dyDescent="0.25">
      <c r="B73" s="5" t="s">
        <v>29</v>
      </c>
      <c r="C73" s="5"/>
      <c r="D73" s="6">
        <v>44561</v>
      </c>
      <c r="E73" s="6">
        <f>EOMONTH(D73,12)</f>
        <v>44926</v>
      </c>
      <c r="F73" s="6">
        <f>EOMONTH(E73,12)</f>
        <v>45291</v>
      </c>
      <c r="G73" s="6">
        <f>EOMONTH(F73,12)</f>
        <v>45657</v>
      </c>
      <c r="H73" s="6">
        <f>EOMONTH(G73,12)</f>
        <v>46022</v>
      </c>
      <c r="I73" s="37">
        <f t="shared" ref="I73:M73" si="82">EOMONTH(H73,12)</f>
        <v>46387</v>
      </c>
      <c r="J73" s="7">
        <f t="shared" si="82"/>
        <v>46752</v>
      </c>
      <c r="K73" s="7">
        <f t="shared" si="82"/>
        <v>47118</v>
      </c>
      <c r="L73" s="7">
        <f t="shared" si="82"/>
        <v>47483</v>
      </c>
      <c r="M73" s="7">
        <f t="shared" si="82"/>
        <v>47848</v>
      </c>
    </row>
    <row r="74" spans="1:13" x14ac:dyDescent="0.25">
      <c r="A74" s="3" t="s">
        <v>0</v>
      </c>
      <c r="B74" s="49" t="s">
        <v>37</v>
      </c>
      <c r="C74" s="35"/>
      <c r="D74" s="35"/>
      <c r="E74" s="35"/>
      <c r="F74" s="35"/>
      <c r="G74" s="35"/>
      <c r="H74" s="35"/>
      <c r="I74" s="47"/>
      <c r="J74" s="35"/>
      <c r="K74" s="35"/>
      <c r="L74" s="35"/>
      <c r="M74" s="35"/>
    </row>
    <row r="75" spans="1:13" x14ac:dyDescent="0.25">
      <c r="B75" s="12"/>
      <c r="I75" s="44"/>
    </row>
    <row r="76" spans="1:13" x14ac:dyDescent="0.25">
      <c r="B76" s="12" t="s">
        <v>44</v>
      </c>
      <c r="I76" s="44"/>
    </row>
    <row r="77" spans="1:13" x14ac:dyDescent="0.25">
      <c r="B77" s="14" t="s">
        <v>38</v>
      </c>
      <c r="D77" s="19">
        <v>364.30700000000002</v>
      </c>
      <c r="E77" s="19">
        <v>306</v>
      </c>
      <c r="F77" s="19">
        <v>414.10599999999999</v>
      </c>
      <c r="G77" s="19">
        <v>262</v>
      </c>
      <c r="H77" s="19">
        <v>213</v>
      </c>
      <c r="I77" s="38">
        <f>I155</f>
        <v>351.32627259051708</v>
      </c>
      <c r="J77" s="10">
        <f t="shared" ref="J77:M77" si="83">J155</f>
        <v>415.02704933243598</v>
      </c>
      <c r="K77" s="10" t="b">
        <f>A1=K155</f>
        <v>0</v>
      </c>
      <c r="L77" s="10">
        <f t="shared" si="83"/>
        <v>482.84476779950114</v>
      </c>
      <c r="M77" s="10">
        <f t="shared" si="83"/>
        <v>564.5521832260464</v>
      </c>
    </row>
    <row r="78" spans="1:13" x14ac:dyDescent="0.25">
      <c r="B78" s="14" t="s">
        <v>39</v>
      </c>
      <c r="D78" s="19">
        <v>343.416</v>
      </c>
      <c r="E78" s="19">
        <v>374.51400000000001</v>
      </c>
      <c r="F78" s="19">
        <v>306.77999999999997</v>
      </c>
      <c r="G78" s="19">
        <v>345</v>
      </c>
      <c r="H78" s="19">
        <v>248</v>
      </c>
      <c r="I78" s="38">
        <f>I60</f>
        <v>341.7588659860545</v>
      </c>
      <c r="J78" s="10">
        <f t="shared" ref="J78:M78" si="84">J60</f>
        <v>337.06813284678515</v>
      </c>
      <c r="K78" s="10">
        <f t="shared" si="84"/>
        <v>339.99625844571813</v>
      </c>
      <c r="L78" s="10">
        <f t="shared" si="84"/>
        <v>344.19603971448709</v>
      </c>
      <c r="M78" s="10">
        <f t="shared" si="84"/>
        <v>343.15073110211193</v>
      </c>
    </row>
    <row r="79" spans="1:13" x14ac:dyDescent="0.25">
      <c r="B79" s="14" t="s">
        <v>30</v>
      </c>
      <c r="D79" s="19">
        <v>883.30100000000004</v>
      </c>
      <c r="E79" s="19">
        <v>1036.211</v>
      </c>
      <c r="F79" s="19">
        <v>1153.7629999999999</v>
      </c>
      <c r="G79" s="19">
        <v>1341</v>
      </c>
      <c r="H79" s="19">
        <v>1329</v>
      </c>
      <c r="I79" s="38">
        <f>I61</f>
        <v>1209.3344398620839</v>
      </c>
      <c r="J79" s="10">
        <f t="shared" ref="J79:M79" si="85">J61</f>
        <v>1272.8410648602712</v>
      </c>
      <c r="K79" s="10">
        <f t="shared" si="85"/>
        <v>1358.3803279959668</v>
      </c>
      <c r="L79" s="10">
        <f t="shared" si="85"/>
        <v>1392.2181391328741</v>
      </c>
      <c r="M79" s="10">
        <f t="shared" si="85"/>
        <v>1400.3279239137346</v>
      </c>
    </row>
    <row r="80" spans="1:13" x14ac:dyDescent="0.25">
      <c r="B80" s="13" t="s">
        <v>40</v>
      </c>
      <c r="C80" s="8"/>
      <c r="D80" s="20">
        <v>169.59399999999999</v>
      </c>
      <c r="E80" s="20">
        <v>206.249</v>
      </c>
      <c r="F80" s="20">
        <v>200.13399999999999</v>
      </c>
      <c r="G80" s="20">
        <v>298</v>
      </c>
      <c r="H80" s="59">
        <v>222</v>
      </c>
      <c r="I80" s="39">
        <f>I34*I19</f>
        <v>234.00749999999999</v>
      </c>
      <c r="J80" s="11">
        <f t="shared" ref="J80:M80" si="86">J34*J19</f>
        <v>239.62367999999998</v>
      </c>
      <c r="K80" s="11">
        <f t="shared" si="86"/>
        <v>245.13502463999995</v>
      </c>
      <c r="L80" s="11">
        <f t="shared" si="86"/>
        <v>250.52799518207996</v>
      </c>
      <c r="M80" s="11">
        <f t="shared" si="86"/>
        <v>255.53855508572155</v>
      </c>
    </row>
    <row r="81" spans="2:13" x14ac:dyDescent="0.25">
      <c r="B81" s="12" t="s">
        <v>35</v>
      </c>
      <c r="D81" s="54">
        <f>SUM(D77:D80)</f>
        <v>1760.6179999999999</v>
      </c>
      <c r="E81" s="54">
        <f>SUM(E77:E80)</f>
        <v>1922.9739999999999</v>
      </c>
      <c r="F81" s="54">
        <f t="shared" ref="F81:M81" si="87">SUM(F77:F80)</f>
        <v>2074.7829999999999</v>
      </c>
      <c r="G81" s="54">
        <f t="shared" si="87"/>
        <v>2246</v>
      </c>
      <c r="H81" s="54">
        <f t="shared" si="87"/>
        <v>2012</v>
      </c>
      <c r="I81" s="94">
        <f t="shared" si="87"/>
        <v>2136.4270784386554</v>
      </c>
      <c r="J81" s="54">
        <f t="shared" si="87"/>
        <v>2264.5599270394923</v>
      </c>
      <c r="K81" s="54">
        <f t="shared" si="87"/>
        <v>1943.511611081685</v>
      </c>
      <c r="L81" s="54">
        <f t="shared" si="87"/>
        <v>2469.7869418289424</v>
      </c>
      <c r="M81" s="54">
        <f t="shared" si="87"/>
        <v>2563.5693933276143</v>
      </c>
    </row>
    <row r="82" spans="2:13" x14ac:dyDescent="0.25">
      <c r="B82" s="12"/>
      <c r="D82" s="19"/>
      <c r="I82" s="44"/>
    </row>
    <row r="83" spans="2:13" x14ac:dyDescent="0.25">
      <c r="B83" s="12" t="s">
        <v>45</v>
      </c>
      <c r="D83" s="19"/>
      <c r="I83" s="44"/>
    </row>
    <row r="84" spans="2:13" x14ac:dyDescent="0.25">
      <c r="B84" s="14" t="s">
        <v>41</v>
      </c>
      <c r="D84" s="19">
        <v>2116.1529999999998</v>
      </c>
      <c r="E84" s="19">
        <v>2268.8850000000002</v>
      </c>
      <c r="F84" s="19">
        <v>2365.3690000000001</v>
      </c>
      <c r="G84" s="19">
        <v>2923</v>
      </c>
      <c r="H84" s="19">
        <v>2902</v>
      </c>
      <c r="I84" s="80">
        <f>I70</f>
        <v>2877.8974910708821</v>
      </c>
      <c r="J84" s="63">
        <f t="shared" ref="J84:M84" si="88">J70</f>
        <v>2870.9121732826356</v>
      </c>
      <c r="K84" s="63">
        <f t="shared" si="88"/>
        <v>2893.373496517268</v>
      </c>
      <c r="L84" s="63">
        <f t="shared" si="88"/>
        <v>2922.6713016729641</v>
      </c>
      <c r="M84" s="63">
        <f t="shared" si="88"/>
        <v>2953.1827634234264</v>
      </c>
    </row>
    <row r="85" spans="2:13" x14ac:dyDescent="0.25">
      <c r="B85" s="14" t="s">
        <v>42</v>
      </c>
      <c r="D85" s="19">
        <v>857.37099999999998</v>
      </c>
      <c r="E85" s="19">
        <v>846.77</v>
      </c>
      <c r="F85" s="19">
        <v>854.89099999999996</v>
      </c>
      <c r="G85" s="19">
        <v>1072</v>
      </c>
      <c r="H85" s="19">
        <v>1058</v>
      </c>
      <c r="I85" s="80">
        <f>H85</f>
        <v>1058</v>
      </c>
      <c r="J85" s="63">
        <f t="shared" ref="J85:M85" si="89">I85</f>
        <v>1058</v>
      </c>
      <c r="K85" s="63">
        <f t="shared" si="89"/>
        <v>1058</v>
      </c>
      <c r="L85" s="63">
        <f t="shared" si="89"/>
        <v>1058</v>
      </c>
      <c r="M85" s="63">
        <f t="shared" si="89"/>
        <v>1058</v>
      </c>
    </row>
    <row r="86" spans="2:13" x14ac:dyDescent="0.25">
      <c r="B86" s="13" t="s">
        <v>43</v>
      </c>
      <c r="C86" s="8"/>
      <c r="D86" s="20">
        <v>169.643</v>
      </c>
      <c r="E86" s="20">
        <v>160.62799999999999</v>
      </c>
      <c r="F86" s="20">
        <v>173.54300000000001</v>
      </c>
      <c r="G86" s="20">
        <v>178</v>
      </c>
      <c r="H86" s="59">
        <v>170</v>
      </c>
      <c r="I86" s="90">
        <f>H86</f>
        <v>170</v>
      </c>
      <c r="J86" s="92">
        <f t="shared" ref="J86:M86" si="90">I86</f>
        <v>170</v>
      </c>
      <c r="K86" s="92">
        <f t="shared" si="90"/>
        <v>170</v>
      </c>
      <c r="L86" s="92">
        <f t="shared" si="90"/>
        <v>170</v>
      </c>
      <c r="M86" s="92">
        <f t="shared" si="90"/>
        <v>170</v>
      </c>
    </row>
    <row r="87" spans="2:13" x14ac:dyDescent="0.25">
      <c r="B87" s="12" t="s">
        <v>36</v>
      </c>
      <c r="D87" s="54">
        <f>SUM(D84:D86)</f>
        <v>3143.1669999999999</v>
      </c>
      <c r="E87" s="54">
        <f>SUM(E84:E86)</f>
        <v>3276.2830000000004</v>
      </c>
      <c r="F87" s="54">
        <f t="shared" ref="F87:M87" si="91">SUM(F84:F86)</f>
        <v>3393.8030000000003</v>
      </c>
      <c r="G87" s="54">
        <f t="shared" si="91"/>
        <v>4173</v>
      </c>
      <c r="H87" s="54">
        <f t="shared" si="91"/>
        <v>4130</v>
      </c>
      <c r="I87" s="94">
        <f t="shared" si="91"/>
        <v>4105.8974910708821</v>
      </c>
      <c r="J87" s="54">
        <f t="shared" si="91"/>
        <v>4098.9121732826352</v>
      </c>
      <c r="K87" s="54">
        <f t="shared" si="91"/>
        <v>4121.373496517268</v>
      </c>
      <c r="L87" s="54">
        <f t="shared" si="91"/>
        <v>4150.6713016729645</v>
      </c>
      <c r="M87" s="54">
        <f t="shared" si="91"/>
        <v>4181.1827634234269</v>
      </c>
    </row>
    <row r="88" spans="2:13" x14ac:dyDescent="0.25">
      <c r="D88" s="19"/>
      <c r="I88" s="44"/>
    </row>
    <row r="89" spans="2:13" ht="15.75" thickBot="1" x14ac:dyDescent="0.3">
      <c r="B89" s="52" t="s">
        <v>86</v>
      </c>
      <c r="C89" s="50"/>
      <c r="D89" s="55">
        <f>D87+D81</f>
        <v>4903.7849999999999</v>
      </c>
      <c r="E89" s="55">
        <f>E87+E81</f>
        <v>5199.2570000000005</v>
      </c>
      <c r="F89" s="55">
        <f t="shared" ref="F89:M89" si="92">F87+F81</f>
        <v>5468.5860000000002</v>
      </c>
      <c r="G89" s="55">
        <f t="shared" si="92"/>
        <v>6419</v>
      </c>
      <c r="H89" s="55">
        <f t="shared" si="92"/>
        <v>6142</v>
      </c>
      <c r="I89" s="95">
        <f t="shared" si="92"/>
        <v>6242.3245695095375</v>
      </c>
      <c r="J89" s="55">
        <f t="shared" si="92"/>
        <v>6363.4721003221275</v>
      </c>
      <c r="K89" s="55">
        <f t="shared" si="92"/>
        <v>6064.8851075989533</v>
      </c>
      <c r="L89" s="55">
        <f t="shared" si="92"/>
        <v>6620.4582435019074</v>
      </c>
      <c r="M89" s="55">
        <f t="shared" si="92"/>
        <v>6744.7521567510412</v>
      </c>
    </row>
    <row r="90" spans="2:13" x14ac:dyDescent="0.25">
      <c r="D90" s="19"/>
      <c r="I90" s="44"/>
    </row>
    <row r="91" spans="2:13" x14ac:dyDescent="0.25">
      <c r="B91" s="49" t="s">
        <v>46</v>
      </c>
      <c r="C91" s="35"/>
      <c r="D91" s="57"/>
      <c r="E91" s="35"/>
      <c r="F91" s="35"/>
      <c r="G91" s="35"/>
      <c r="H91" s="35"/>
      <c r="I91" s="47"/>
      <c r="J91" s="35"/>
      <c r="K91" s="35"/>
      <c r="L91" s="35"/>
      <c r="M91" s="35"/>
    </row>
    <row r="92" spans="2:13" x14ac:dyDescent="0.25">
      <c r="D92" s="19"/>
      <c r="I92" s="44"/>
    </row>
    <row r="93" spans="2:13" x14ac:dyDescent="0.25">
      <c r="B93" s="12" t="s">
        <v>47</v>
      </c>
      <c r="D93" s="19"/>
      <c r="I93" s="44"/>
    </row>
    <row r="94" spans="2:13" x14ac:dyDescent="0.25">
      <c r="B94" s="27" t="s">
        <v>48</v>
      </c>
      <c r="D94" s="19">
        <v>423.07799999999997</v>
      </c>
      <c r="E94" s="19">
        <v>439.56700000000001</v>
      </c>
      <c r="F94" s="19">
        <v>330.07400000000001</v>
      </c>
      <c r="G94" s="19">
        <v>418</v>
      </c>
      <c r="H94" s="19">
        <v>454</v>
      </c>
      <c r="I94" s="38">
        <f>I62*-1</f>
        <v>435.30366697432038</v>
      </c>
      <c r="J94" s="10">
        <f t="shared" ref="J94:M94" si="93">J62*-1</f>
        <v>432.78916391567606</v>
      </c>
      <c r="K94" s="10">
        <f t="shared" si="93"/>
        <v>444.68633570691895</v>
      </c>
      <c r="L94" s="10">
        <f t="shared" si="93"/>
        <v>467.06207033508565</v>
      </c>
      <c r="M94" s="10">
        <f t="shared" si="93"/>
        <v>477.00367672631972</v>
      </c>
    </row>
    <row r="95" spans="2:13" x14ac:dyDescent="0.25">
      <c r="B95" s="27" t="s">
        <v>49</v>
      </c>
      <c r="D95" s="19">
        <v>212.995</v>
      </c>
      <c r="E95" s="19">
        <v>207.15700000000001</v>
      </c>
      <c r="F95" s="19">
        <v>426.64400000000001</v>
      </c>
      <c r="G95" s="19">
        <v>605</v>
      </c>
      <c r="H95" s="19">
        <v>336</v>
      </c>
      <c r="I95" s="80">
        <f>H95</f>
        <v>336</v>
      </c>
      <c r="J95" s="63">
        <f t="shared" ref="J95:M95" si="94">I95</f>
        <v>336</v>
      </c>
      <c r="K95" s="63">
        <f t="shared" si="94"/>
        <v>336</v>
      </c>
      <c r="L95" s="63">
        <f t="shared" si="94"/>
        <v>336</v>
      </c>
      <c r="M95" s="63">
        <f t="shared" si="94"/>
        <v>336</v>
      </c>
    </row>
    <row r="96" spans="2:13" x14ac:dyDescent="0.25">
      <c r="B96" s="28" t="s">
        <v>50</v>
      </c>
      <c r="C96" s="8"/>
      <c r="D96" s="20">
        <v>456.85399999999998</v>
      </c>
      <c r="E96" s="20">
        <v>563.73400000000004</v>
      </c>
      <c r="F96" s="20">
        <v>482.76600000000002</v>
      </c>
      <c r="G96" s="20">
        <v>537</v>
      </c>
      <c r="H96" s="20">
        <v>537</v>
      </c>
      <c r="I96" s="39">
        <f>I34*I20</f>
        <v>561.61799999999994</v>
      </c>
      <c r="J96" s="11">
        <f t="shared" ref="J96:M96" si="95">J34*J20</f>
        <v>575.09683199999995</v>
      </c>
      <c r="K96" s="11">
        <f t="shared" si="95"/>
        <v>588.32405913599985</v>
      </c>
      <c r="L96" s="11">
        <f t="shared" si="95"/>
        <v>601.26718843699189</v>
      </c>
      <c r="M96" s="11">
        <f t="shared" si="95"/>
        <v>613.29253220573173</v>
      </c>
    </row>
    <row r="97" spans="2:13" x14ac:dyDescent="0.25">
      <c r="B97" s="12" t="s">
        <v>51</v>
      </c>
      <c r="D97" s="54">
        <f>SUM(D94:D96)</f>
        <v>1092.9269999999999</v>
      </c>
      <c r="E97" s="54">
        <f>SUM(E94:E96)</f>
        <v>1210.4580000000001</v>
      </c>
      <c r="F97" s="54">
        <f t="shared" ref="F97:M97" si="96">SUM(F94:F96)</f>
        <v>1239.4840000000002</v>
      </c>
      <c r="G97" s="54">
        <f t="shared" si="96"/>
        <v>1560</v>
      </c>
      <c r="H97" s="54">
        <f t="shared" si="96"/>
        <v>1327</v>
      </c>
      <c r="I97" s="94">
        <f t="shared" si="96"/>
        <v>1332.9216669743203</v>
      </c>
      <c r="J97" s="54">
        <f t="shared" si="96"/>
        <v>1343.8859959156759</v>
      </c>
      <c r="K97" s="54">
        <f t="shared" si="96"/>
        <v>1369.0103948429187</v>
      </c>
      <c r="L97" s="54">
        <f t="shared" si="96"/>
        <v>1404.3292587720775</v>
      </c>
      <c r="M97" s="54">
        <f t="shared" si="96"/>
        <v>1426.2962089320515</v>
      </c>
    </row>
    <row r="98" spans="2:13" x14ac:dyDescent="0.25">
      <c r="D98" s="19"/>
      <c r="I98" s="44"/>
    </row>
    <row r="99" spans="2:13" x14ac:dyDescent="0.25">
      <c r="B99" s="12" t="s">
        <v>52</v>
      </c>
      <c r="D99" s="19"/>
      <c r="I99" s="44"/>
    </row>
    <row r="100" spans="2:13" x14ac:dyDescent="0.25">
      <c r="B100" s="27" t="s">
        <v>53</v>
      </c>
      <c r="D100" s="19">
        <v>1326.1079999999999</v>
      </c>
      <c r="E100" s="19">
        <v>1245.0619999999999</v>
      </c>
      <c r="F100" s="19">
        <f>('[1]cfs-balance-sheet'!$C$38)/1000</f>
        <v>1274.5740000000001</v>
      </c>
      <c r="G100" s="19">
        <f>'[2]cfs-balance-sheet'!$D$36</f>
        <v>1522</v>
      </c>
      <c r="H100" s="19">
        <f>'[2]cfs-balance-sheet'!$C$36</f>
        <v>1582</v>
      </c>
      <c r="I100" s="80">
        <f>H100+I144+I145</f>
        <v>1502.9</v>
      </c>
      <c r="J100" s="63">
        <f>I100+J144+J145</f>
        <v>1427.7550000000001</v>
      </c>
      <c r="K100" s="63">
        <f>J100+K144+K145</f>
        <v>1356.3672500000002</v>
      </c>
      <c r="L100" s="63">
        <f>K100+L144+L145</f>
        <v>1288.5488875000001</v>
      </c>
      <c r="M100" s="63">
        <f>L100+M144+M145</f>
        <v>1224.121443125</v>
      </c>
    </row>
    <row r="101" spans="2:13" x14ac:dyDescent="0.25">
      <c r="B101" s="27" t="s">
        <v>63</v>
      </c>
      <c r="D101" s="19">
        <v>107.26900000000001</v>
      </c>
      <c r="E101" s="19">
        <v>100.67400000000001</v>
      </c>
      <c r="F101" s="19">
        <f>('[1]cfs-balance-sheet'!$C$35)/1000</f>
        <v>100.53700000000001</v>
      </c>
      <c r="G101" s="19">
        <f>'[2]cfs-balance-sheet'!$D$40</f>
        <v>200</v>
      </c>
      <c r="H101" s="19">
        <f>'[2]cfs-balance-sheet'!$C$40</f>
        <v>178</v>
      </c>
      <c r="I101" s="80">
        <f>H101</f>
        <v>178</v>
      </c>
      <c r="J101" s="63">
        <f t="shared" ref="J101:M101" si="97">I101</f>
        <v>178</v>
      </c>
      <c r="K101" s="63">
        <f t="shared" si="97"/>
        <v>178</v>
      </c>
      <c r="L101" s="63">
        <f t="shared" si="97"/>
        <v>178</v>
      </c>
      <c r="M101" s="63">
        <f t="shared" si="97"/>
        <v>178</v>
      </c>
    </row>
    <row r="102" spans="2:13" x14ac:dyDescent="0.25">
      <c r="B102" s="28" t="s">
        <v>54</v>
      </c>
      <c r="C102" s="8"/>
      <c r="D102" s="20">
        <f>(29569+98670+100174)/1000</f>
        <v>228.41300000000001</v>
      </c>
      <c r="E102" s="20">
        <f>(73869+103264+15508)/1000</f>
        <v>192.64099999999999</v>
      </c>
      <c r="F102" s="20">
        <f>('[1]cfs-balance-sheet'!$C$36+'[1]cfs-balance-sheet'!$C$37+'[1]cfs-balance-sheet'!$C$39)/1000</f>
        <v>196.29</v>
      </c>
      <c r="G102" s="20">
        <f>'[2]cfs-balance-sheet'!$D$37+'[2]cfs-balance-sheet'!$D$38+'[2]cfs-balance-sheet'!$D$39</f>
        <v>255</v>
      </c>
      <c r="H102" s="59">
        <v>253</v>
      </c>
      <c r="I102" s="90">
        <f>H102</f>
        <v>253</v>
      </c>
      <c r="J102" s="92">
        <f t="shared" ref="J102:M102" si="98">I102</f>
        <v>253</v>
      </c>
      <c r="K102" s="92">
        <f t="shared" si="98"/>
        <v>253</v>
      </c>
      <c r="L102" s="92">
        <f t="shared" si="98"/>
        <v>253</v>
      </c>
      <c r="M102" s="92">
        <f t="shared" si="98"/>
        <v>253</v>
      </c>
    </row>
    <row r="103" spans="2:13" x14ac:dyDescent="0.25">
      <c r="B103" s="12" t="s">
        <v>55</v>
      </c>
      <c r="D103" s="54">
        <f>SUM(D100:D102)</f>
        <v>1661.79</v>
      </c>
      <c r="E103" s="54">
        <f>SUM(E100:E102)</f>
        <v>1538.377</v>
      </c>
      <c r="F103" s="54">
        <f t="shared" ref="F103:M103" si="99">SUM(F100:F102)</f>
        <v>1571.4010000000001</v>
      </c>
      <c r="G103" s="54">
        <f t="shared" si="99"/>
        <v>1977</v>
      </c>
      <c r="H103" s="54">
        <f t="shared" si="99"/>
        <v>2013</v>
      </c>
      <c r="I103" s="94">
        <f t="shared" si="99"/>
        <v>1933.9</v>
      </c>
      <c r="J103" s="54">
        <f t="shared" si="99"/>
        <v>1858.7550000000001</v>
      </c>
      <c r="K103" s="54">
        <f t="shared" si="99"/>
        <v>1787.3672500000002</v>
      </c>
      <c r="L103" s="54">
        <f t="shared" si="99"/>
        <v>1719.5488875000001</v>
      </c>
      <c r="M103" s="54">
        <f t="shared" si="99"/>
        <v>1655.121443125</v>
      </c>
    </row>
    <row r="104" spans="2:13" x14ac:dyDescent="0.25">
      <c r="D104" s="19"/>
      <c r="I104" s="44"/>
    </row>
    <row r="105" spans="2:13" ht="15.75" thickBot="1" x14ac:dyDescent="0.3">
      <c r="B105" s="48" t="s">
        <v>56</v>
      </c>
      <c r="C105" s="31"/>
      <c r="D105" s="56">
        <f>D103+D97</f>
        <v>2754.7169999999996</v>
      </c>
      <c r="E105" s="56">
        <f>E103+E97</f>
        <v>2748.835</v>
      </c>
      <c r="F105" s="56">
        <f t="shared" ref="F105:M105" si="100">F103+F97</f>
        <v>2810.8850000000002</v>
      </c>
      <c r="G105" s="56">
        <f t="shared" si="100"/>
        <v>3537</v>
      </c>
      <c r="H105" s="56">
        <f t="shared" si="100"/>
        <v>3340</v>
      </c>
      <c r="I105" s="96">
        <f t="shared" si="100"/>
        <v>3266.8216669743206</v>
      </c>
      <c r="J105" s="56">
        <f t="shared" si="100"/>
        <v>3202.6409959156763</v>
      </c>
      <c r="K105" s="56">
        <f t="shared" si="100"/>
        <v>3156.3776448429189</v>
      </c>
      <c r="L105" s="56">
        <f t="shared" si="100"/>
        <v>3123.8781462720776</v>
      </c>
      <c r="M105" s="56">
        <f t="shared" si="100"/>
        <v>3081.4176520570518</v>
      </c>
    </row>
    <row r="106" spans="2:13" ht="15.75" thickTop="1" x14ac:dyDescent="0.25">
      <c r="D106" s="19"/>
      <c r="I106" s="44"/>
    </row>
    <row r="107" spans="2:13" x14ac:dyDescent="0.25">
      <c r="B107" s="12" t="s">
        <v>57</v>
      </c>
      <c r="D107" s="19"/>
      <c r="I107" s="44"/>
    </row>
    <row r="108" spans="2:13" x14ac:dyDescent="0.25">
      <c r="B108" s="27" t="s">
        <v>58</v>
      </c>
      <c r="D108" s="19">
        <f>(1069751+115188)/1000</f>
        <v>1184.9390000000001</v>
      </c>
      <c r="E108" s="19">
        <f>(111732+983995)/1000</f>
        <v>1095.7270000000001</v>
      </c>
      <c r="F108" s="19">
        <f>('[1]cfs-balance-sheet'!$C$27+'[1]cfs-balance-sheet'!$C$26)/1000</f>
        <v>1098.7629999999999</v>
      </c>
      <c r="G108" s="19">
        <v>1155</v>
      </c>
      <c r="H108" s="19">
        <f>'[2]cfs-balance-sheet'!$C$28+'[2]cfs-balance-sheet'!$C$27</f>
        <v>1093</v>
      </c>
      <c r="I108" s="80">
        <f>H108</f>
        <v>1093</v>
      </c>
      <c r="J108" s="63">
        <f t="shared" ref="J108:M108" si="101">I108</f>
        <v>1093</v>
      </c>
      <c r="K108" s="63">
        <f t="shared" si="101"/>
        <v>1093</v>
      </c>
      <c r="L108" s="63">
        <f t="shared" si="101"/>
        <v>1093</v>
      </c>
      <c r="M108" s="63">
        <f t="shared" si="101"/>
        <v>1093</v>
      </c>
    </row>
    <row r="109" spans="2:13" x14ac:dyDescent="0.25">
      <c r="B109" s="27" t="s">
        <v>59</v>
      </c>
      <c r="D109" s="19">
        <v>1189.703</v>
      </c>
      <c r="E109" s="19">
        <v>1677.9</v>
      </c>
      <c r="F109" s="19">
        <f>('[1]cfs-balance-sheet'!$C$28)/1000</f>
        <v>1921.5709999999999</v>
      </c>
      <c r="G109" s="19">
        <v>1904</v>
      </c>
      <c r="H109" s="19">
        <f>'[2]cfs-balance-sheet'!$C$29</f>
        <v>1968</v>
      </c>
      <c r="I109" s="58">
        <f>H109+I55-(I55*I28)</f>
        <v>2141.5029025352173</v>
      </c>
      <c r="J109" s="53">
        <f t="shared" ref="J109:M109" si="102">I109+J55-(J55*J28)</f>
        <v>2326.8311044064521</v>
      </c>
      <c r="K109" s="53">
        <f t="shared" si="102"/>
        <v>2498.364714635743</v>
      </c>
      <c r="L109" s="53">
        <f t="shared" si="102"/>
        <v>2662.5800972298293</v>
      </c>
      <c r="M109" s="53">
        <f t="shared" si="102"/>
        <v>2829.3345046939899</v>
      </c>
    </row>
    <row r="110" spans="2:13" x14ac:dyDescent="0.25">
      <c r="B110" s="27" t="s">
        <v>64</v>
      </c>
      <c r="D110" s="19">
        <f>(-219035+(-7439)+900)/1000</f>
        <v>-225.57400000000001</v>
      </c>
      <c r="E110" s="19">
        <f>(-194977+(-129799)+1571)/1000</f>
        <v>-323.20499999999998</v>
      </c>
      <c r="F110" s="19">
        <f>('[1]cfs-balance-sheet'!$C$29+'[1]cfs-balance-sheet'!$C$30+2266)/1000</f>
        <v>-362.63299999999998</v>
      </c>
      <c r="G110" s="19">
        <f>'[2]cfs-balance-sheet'!$D$30+'[2]cfs-balance-sheet'!$D$31+'[2]cfs-balance-sheet'!$D$33</f>
        <v>-177</v>
      </c>
      <c r="H110" s="19">
        <f>'[2]cfs-balance-sheet'!$C$30+'[2]cfs-balance-sheet'!$C$31+'[2]cfs-balance-sheet'!$C$33</f>
        <v>-259</v>
      </c>
      <c r="I110" s="80">
        <f>H110</f>
        <v>-259</v>
      </c>
      <c r="J110" s="92">
        <f t="shared" ref="J110:M110" si="103">I110</f>
        <v>-259</v>
      </c>
      <c r="K110" s="92">
        <f t="shared" si="103"/>
        <v>-259</v>
      </c>
      <c r="L110" s="92">
        <f t="shared" si="103"/>
        <v>-259</v>
      </c>
      <c r="M110" s="63">
        <f t="shared" si="103"/>
        <v>-259</v>
      </c>
    </row>
    <row r="111" spans="2:13" ht="15.75" thickBot="1" x14ac:dyDescent="0.3">
      <c r="B111" s="48" t="s">
        <v>60</v>
      </c>
      <c r="C111" s="31"/>
      <c r="D111" s="56">
        <f>SUM(D108:D110)</f>
        <v>2149.0679999999998</v>
      </c>
      <c r="E111" s="56">
        <f>SUM(E108:E110)</f>
        <v>2450.4220000000005</v>
      </c>
      <c r="F111" s="56">
        <f t="shared" ref="F111:M111" si="104">SUM(F108:F110)</f>
        <v>2657.701</v>
      </c>
      <c r="G111" s="56">
        <f t="shared" si="104"/>
        <v>2882</v>
      </c>
      <c r="H111" s="56">
        <f t="shared" si="104"/>
        <v>2802</v>
      </c>
      <c r="I111" s="96">
        <f t="shared" si="104"/>
        <v>2975.5029025352173</v>
      </c>
      <c r="J111" s="56">
        <f t="shared" si="104"/>
        <v>3160.8311044064521</v>
      </c>
      <c r="K111" s="56">
        <f t="shared" si="104"/>
        <v>3332.364714635743</v>
      </c>
      <c r="L111" s="56">
        <f t="shared" si="104"/>
        <v>3496.5800972298293</v>
      </c>
      <c r="M111" s="56">
        <f t="shared" si="104"/>
        <v>3663.3345046939899</v>
      </c>
    </row>
    <row r="112" spans="2:13" ht="15.75" thickTop="1" x14ac:dyDescent="0.25">
      <c r="D112" s="19"/>
      <c r="I112" s="44"/>
    </row>
    <row r="113" spans="1:13" ht="15.75" thickBot="1" x14ac:dyDescent="0.3">
      <c r="B113" s="51" t="s">
        <v>61</v>
      </c>
      <c r="C113" s="50"/>
      <c r="D113" s="55">
        <f>D111+D105</f>
        <v>4903.7849999999999</v>
      </c>
      <c r="E113" s="55">
        <f>E111+E105</f>
        <v>5199.2570000000005</v>
      </c>
      <c r="F113" s="55">
        <f t="shared" ref="F113:M113" si="105">F111+F105</f>
        <v>5468.5860000000002</v>
      </c>
      <c r="G113" s="55">
        <f t="shared" si="105"/>
        <v>6419</v>
      </c>
      <c r="H113" s="55">
        <f t="shared" si="105"/>
        <v>6142</v>
      </c>
      <c r="I113" s="95">
        <f t="shared" si="105"/>
        <v>6242.3245695095375</v>
      </c>
      <c r="J113" s="55">
        <f t="shared" si="105"/>
        <v>6363.4721003221284</v>
      </c>
      <c r="K113" s="55">
        <f t="shared" si="105"/>
        <v>6488.7423594786615</v>
      </c>
      <c r="L113" s="55">
        <f t="shared" si="105"/>
        <v>6620.4582435019074</v>
      </c>
      <c r="M113" s="55">
        <f t="shared" si="105"/>
        <v>6744.7521567510412</v>
      </c>
    </row>
    <row r="114" spans="1:13" x14ac:dyDescent="0.25">
      <c r="D114" s="19"/>
      <c r="I114" s="44"/>
    </row>
    <row r="115" spans="1:13" x14ac:dyDescent="0.25">
      <c r="B115" s="3" t="s">
        <v>62</v>
      </c>
      <c r="D115" s="53">
        <f>D89-D113</f>
        <v>0</v>
      </c>
      <c r="E115" s="53">
        <f t="shared" ref="E115:M115" si="106">E89-E113</f>
        <v>0</v>
      </c>
      <c r="F115" s="53">
        <f t="shared" si="106"/>
        <v>0</v>
      </c>
      <c r="G115" s="53">
        <f t="shared" si="106"/>
        <v>0</v>
      </c>
      <c r="H115" s="53">
        <f t="shared" si="106"/>
        <v>0</v>
      </c>
      <c r="I115" s="58">
        <f t="shared" si="106"/>
        <v>0</v>
      </c>
      <c r="J115" s="53">
        <f t="shared" si="106"/>
        <v>0</v>
      </c>
      <c r="K115" s="53">
        <f t="shared" si="106"/>
        <v>-423.8572518797082</v>
      </c>
      <c r="L115" s="53">
        <f t="shared" si="106"/>
        <v>0</v>
      </c>
      <c r="M115" s="53">
        <f t="shared" si="106"/>
        <v>0</v>
      </c>
    </row>
    <row r="116" spans="1:13" x14ac:dyDescent="0.25">
      <c r="I116" s="44"/>
    </row>
    <row r="117" spans="1:13" x14ac:dyDescent="0.25">
      <c r="I117" s="44"/>
    </row>
    <row r="118" spans="1:13" x14ac:dyDescent="0.25">
      <c r="B118" s="5" t="s">
        <v>17</v>
      </c>
      <c r="C118" s="21"/>
      <c r="D118" s="6">
        <v>44561</v>
      </c>
      <c r="E118" s="6">
        <f>EOMONTH(D118,12)</f>
        <v>44926</v>
      </c>
      <c r="F118" s="6">
        <f>EOMONTH(E118,12)</f>
        <v>45291</v>
      </c>
      <c r="G118" s="6">
        <f>EOMONTH(F118,12)</f>
        <v>45657</v>
      </c>
      <c r="H118" s="6">
        <f>EOMONTH(G118,12)</f>
        <v>46022</v>
      </c>
      <c r="I118" s="37">
        <f t="shared" ref="I118" si="107">EOMONTH(H118,12)</f>
        <v>46387</v>
      </c>
      <c r="J118" s="7">
        <f t="shared" ref="J118" si="108">EOMONTH(I118,12)</f>
        <v>46752</v>
      </c>
      <c r="K118" s="7">
        <f t="shared" ref="K118" si="109">EOMONTH(J118,12)</f>
        <v>47118</v>
      </c>
      <c r="L118" s="7">
        <f t="shared" ref="L118" si="110">EOMONTH(K118,12)</f>
        <v>47483</v>
      </c>
      <c r="M118" s="7">
        <f t="shared" ref="M118" si="111">EOMONTH(L118,12)</f>
        <v>47848</v>
      </c>
    </row>
    <row r="119" spans="1:13" x14ac:dyDescent="0.25">
      <c r="A119" s="3" t="s">
        <v>0</v>
      </c>
      <c r="B119" s="60" t="s">
        <v>65</v>
      </c>
      <c r="C119" s="35"/>
      <c r="D119" s="35"/>
      <c r="E119" s="35"/>
      <c r="F119" s="35"/>
      <c r="G119" s="35"/>
      <c r="H119" s="35"/>
      <c r="I119" s="47"/>
      <c r="J119" s="35"/>
      <c r="K119" s="35"/>
      <c r="L119" s="35"/>
      <c r="M119" s="35"/>
    </row>
    <row r="120" spans="1:13" x14ac:dyDescent="0.25">
      <c r="I120" s="44"/>
    </row>
    <row r="121" spans="1:13" x14ac:dyDescent="0.25">
      <c r="B121" s="12" t="s">
        <v>66</v>
      </c>
      <c r="D121" s="19">
        <v>374.27300000000002</v>
      </c>
      <c r="E121" s="19">
        <f>('[1]cfs-cash-flow-statement'!$D$6)/1000</f>
        <v>688.346</v>
      </c>
      <c r="F121" s="19">
        <f>('[1]cfs-cash-flow-statement'!$C$6)/1000</f>
        <v>424.32299999999998</v>
      </c>
      <c r="G121" s="19">
        <f>'[2]cfs-cash-flow-statement'!$D$6</f>
        <v>151</v>
      </c>
      <c r="H121" s="19">
        <f>'[2]cfs-cash-flow-statement'!$C$6</f>
        <v>233</v>
      </c>
      <c r="I121" s="80">
        <f>I49</f>
        <v>370.20307958521641</v>
      </c>
      <c r="J121" s="63">
        <f t="shared" ref="J121:M121" si="112">J49</f>
        <v>395.4347164468652</v>
      </c>
      <c r="K121" s="63">
        <f t="shared" si="112"/>
        <v>366.00120131341413</v>
      </c>
      <c r="L121" s="63">
        <f t="shared" si="112"/>
        <v>350.38630168884742</v>
      </c>
      <c r="M121" s="63">
        <f t="shared" si="112"/>
        <v>355.80381812407848</v>
      </c>
    </row>
    <row r="122" spans="1:13" x14ac:dyDescent="0.25">
      <c r="B122" s="14" t="s">
        <v>67</v>
      </c>
      <c r="D122" s="19">
        <v>251.23699999999999</v>
      </c>
      <c r="E122" s="19">
        <f>('[1]cfs-cash-flow-statement'!$D$7)/1000</f>
        <v>276.25700000000001</v>
      </c>
      <c r="F122" s="19">
        <f>('[1]cfs-cash-flow-statement'!$C$7)/1000</f>
        <v>286.791</v>
      </c>
      <c r="G122" s="19">
        <f>'[2]cfs-cash-flow-statement'!$D$8</f>
        <v>362</v>
      </c>
      <c r="H122" s="19">
        <f>'[2]cfs-cash-flow-statement'!$C$8</f>
        <v>377</v>
      </c>
      <c r="I122" s="80">
        <f>I69*-1</f>
        <v>351.71300892911785</v>
      </c>
      <c r="J122" s="63">
        <f t="shared" ref="J122:M122" si="113">J69*-1</f>
        <v>342.45846978824653</v>
      </c>
      <c r="K122" s="63">
        <f t="shared" si="113"/>
        <v>320.72771126136735</v>
      </c>
      <c r="L122" s="63">
        <f t="shared" si="113"/>
        <v>321.44138809921549</v>
      </c>
      <c r="M122" s="63">
        <f t="shared" si="113"/>
        <v>327.24251536954819</v>
      </c>
    </row>
    <row r="123" spans="1:13" x14ac:dyDescent="0.25">
      <c r="B123" s="14" t="s">
        <v>68</v>
      </c>
      <c r="D123" s="19">
        <f>(10747+22045+(-13907)+(-4079)+(-2874)+37967+621+(-1702))/1000</f>
        <v>48.817999999999998</v>
      </c>
      <c r="E123" s="19">
        <f>('[1]cfs-cash-flow-statement'!$D$8+'[1]cfs-cash-flow-statement'!$D$9+'[1]cfs-cash-flow-statement'!$D$10+'[1]cfs-cash-flow-statement'!$D$11+'[1]cfs-cash-flow-statement'!$D$12+'[1]cfs-cash-flow-statement'!$D$14+'[1]cfs-cash-flow-statement'!$D$16)/1000</f>
        <v>47.344999999999999</v>
      </c>
      <c r="F123" s="19">
        <f>('[1]cfs-cash-flow-statement'!$C$8+'[1]cfs-cash-flow-statement'!$C$9+'[1]cfs-cash-flow-statement'!$C$10+'[1]cfs-cash-flow-statement'!$C$11+'[1]cfs-cash-flow-statement'!$C$12+'[1]cfs-cash-flow-statement'!$C$14+'[1]cfs-cash-flow-statement'!$C$16)/1000</f>
        <v>76.152000000000001</v>
      </c>
      <c r="G123" s="19">
        <f>'[2]cfs-cash-flow-statement'!$D$9+'[2]cfs-cash-flow-statement'!$D$10+'[2]cfs-cash-flow-statement'!$D$11+'[2]cfs-cash-flow-statement'!$D$12+'[2]cfs-cash-flow-statement'!$D$13+'[2]cfs-cash-flow-statement'!$D$14+'[2]cfs-cash-flow-statement'!$D$16</f>
        <v>155</v>
      </c>
      <c r="H123" s="19">
        <f>'[2]cfs-cash-flow-statement'!$C$9+'[2]cfs-cash-flow-statement'!$C$10+'[2]cfs-cash-flow-statement'!$C$11+'[2]cfs-cash-flow-statement'!$C$12+'[2]cfs-cash-flow-statement'!$C$13+'[2]cfs-cash-flow-statement'!$C$14+'[2]cfs-cash-flow-statement'!$C$16</f>
        <v>76</v>
      </c>
      <c r="I123" s="80">
        <v>0</v>
      </c>
      <c r="J123" s="63">
        <v>0</v>
      </c>
      <c r="K123" s="63">
        <v>0</v>
      </c>
      <c r="L123" s="63">
        <v>0</v>
      </c>
      <c r="M123" s="63">
        <v>0</v>
      </c>
    </row>
    <row r="124" spans="1:13" x14ac:dyDescent="0.25">
      <c r="B124" s="14" t="s">
        <v>69</v>
      </c>
      <c r="D124" s="19">
        <f>(-36175+(-72110))/1000</f>
        <v>-108.285</v>
      </c>
      <c r="E124" s="19">
        <f>('[1]cfs-cash-flow-statement'!$D$13+'[1]cfs-cash-flow-statement'!$D$15)/1000</f>
        <v>-133.58600000000001</v>
      </c>
      <c r="F124" s="19">
        <f>('[1]cfs-cash-flow-statement'!$C$13+'[1]cfs-cash-flow-statement'!$C$15)/1000</f>
        <v>-178.81200000000001</v>
      </c>
      <c r="G124" s="19">
        <f>'[2]cfs-cash-flow-statement'!$D$15+'[2]cfs-cash-flow-statement'!$D$17</f>
        <v>-201</v>
      </c>
      <c r="H124" s="19">
        <f>'[2]cfs-cash-flow-statement'!$C$15+'[2]cfs-cash-flow-statement'!$C$17</f>
        <v>-160</v>
      </c>
      <c r="I124" s="80">
        <f>I51</f>
        <v>-103.27553722334362</v>
      </c>
      <c r="J124" s="63">
        <f t="shared" ref="J124:M124" si="114">J51</f>
        <v>-110.31440587573492</v>
      </c>
      <c r="K124" s="63">
        <f t="shared" si="114"/>
        <v>-102.10333942219707</v>
      </c>
      <c r="L124" s="63">
        <f t="shared" si="114"/>
        <v>-97.747251544099058</v>
      </c>
      <c r="M124" s="63">
        <f t="shared" si="114"/>
        <v>-99.25857587152403</v>
      </c>
    </row>
    <row r="125" spans="1:13" x14ac:dyDescent="0.25">
      <c r="B125" s="14"/>
      <c r="I125" s="44"/>
    </row>
    <row r="126" spans="1:13" x14ac:dyDescent="0.25">
      <c r="B126" s="30" t="s">
        <v>75</v>
      </c>
      <c r="D126" s="54">
        <f>SUM(D121:D125)</f>
        <v>566.04300000000001</v>
      </c>
      <c r="E126" s="54">
        <f>SUM(E121:E125)</f>
        <v>878.36200000000008</v>
      </c>
      <c r="F126" s="54">
        <f>SUM(F121:F125)</f>
        <v>608.45400000000006</v>
      </c>
      <c r="G126" s="54">
        <f>SUM(G121:G125)</f>
        <v>467</v>
      </c>
      <c r="H126" s="54">
        <f>SUM(H121:H125)</f>
        <v>526</v>
      </c>
      <c r="I126" s="97">
        <f t="shared" ref="I126:M126" si="115">SUM(I121:I125)</f>
        <v>618.64055129099063</v>
      </c>
      <c r="J126" s="54">
        <f t="shared" si="115"/>
        <v>627.57878035937676</v>
      </c>
      <c r="K126" s="54">
        <f t="shared" si="115"/>
        <v>584.62557315258437</v>
      </c>
      <c r="L126" s="54">
        <f t="shared" si="115"/>
        <v>574.08043824396384</v>
      </c>
      <c r="M126" s="54">
        <f t="shared" si="115"/>
        <v>583.78775762210262</v>
      </c>
    </row>
    <row r="127" spans="1:13" x14ac:dyDescent="0.25">
      <c r="B127" s="30"/>
      <c r="I127" s="44"/>
    </row>
    <row r="128" spans="1:13" x14ac:dyDescent="0.25">
      <c r="B128" s="14" t="s">
        <v>70</v>
      </c>
      <c r="D128" s="19">
        <v>-95.875</v>
      </c>
      <c r="E128" s="19">
        <f>('[1]cfs-cash-flow-statement'!$D$19)/1000</f>
        <v>-171.285</v>
      </c>
      <c r="F128" s="19">
        <f>('[1]cfs-cash-flow-statement'!$C$19)/1000</f>
        <v>-119.895</v>
      </c>
      <c r="G128" s="19">
        <f>'[2]cfs-cash-flow-statement'!$D$20</f>
        <v>56</v>
      </c>
      <c r="H128" s="19">
        <f>'[2]cfs-cash-flow-statement'!$C$20</f>
        <v>-26</v>
      </c>
      <c r="I128" s="80">
        <f>H79-I79</f>
        <v>119.66556013791615</v>
      </c>
      <c r="J128" s="63">
        <f t="shared" ref="J128:M128" si="116">I79-J79</f>
        <v>-63.506624998187363</v>
      </c>
      <c r="K128" s="63">
        <f t="shared" si="116"/>
        <v>-85.539263135695592</v>
      </c>
      <c r="L128" s="63">
        <f t="shared" si="116"/>
        <v>-33.837811136907249</v>
      </c>
      <c r="M128" s="63">
        <f t="shared" si="116"/>
        <v>-8.1097847808605366</v>
      </c>
    </row>
    <row r="129" spans="2:13" x14ac:dyDescent="0.25">
      <c r="B129" s="14" t="s">
        <v>71</v>
      </c>
      <c r="D129" s="19">
        <v>-52.088999999999999</v>
      </c>
      <c r="E129" s="19">
        <f>('[1]cfs-cash-flow-statement'!$D$20)/1000</f>
        <v>-34.241999999999997</v>
      </c>
      <c r="F129" s="19">
        <f>('[1]cfs-cash-flow-statement'!$C$20)/1000</f>
        <v>69.894999999999996</v>
      </c>
      <c r="G129" s="19">
        <f>'[2]cfs-cash-flow-statement'!$D$21</f>
        <v>82</v>
      </c>
      <c r="H129" s="19">
        <f>'[2]cfs-cash-flow-statement'!$C$21</f>
        <v>89</v>
      </c>
      <c r="I129" s="80">
        <f>H78-I78</f>
        <v>-93.758865986054502</v>
      </c>
      <c r="J129" s="63">
        <f t="shared" ref="J129:M129" si="117">I78-J78</f>
        <v>4.690733139269355</v>
      </c>
      <c r="K129" s="63">
        <f t="shared" si="117"/>
        <v>-2.9281255989329793</v>
      </c>
      <c r="L129" s="63">
        <f t="shared" si="117"/>
        <v>-4.1997812687689589</v>
      </c>
      <c r="M129" s="63">
        <f t="shared" si="117"/>
        <v>1.0453086123751518</v>
      </c>
    </row>
    <row r="130" spans="2:13" x14ac:dyDescent="0.25">
      <c r="B130" s="14" t="s">
        <v>72</v>
      </c>
      <c r="D130" s="19">
        <v>74.629000000000005</v>
      </c>
      <c r="E130" s="19">
        <f>('[1]cfs-cash-flow-statement'!$D$21)/1000</f>
        <v>19.934000000000001</v>
      </c>
      <c r="F130" s="19">
        <f>('[1]cfs-cash-flow-statement'!$C$21)/1000</f>
        <v>-115.23699999999999</v>
      </c>
      <c r="G130" s="19">
        <f>'[2]cfs-cash-flow-statement'!$D$22</f>
        <v>16</v>
      </c>
      <c r="H130" s="19">
        <f>'[2]cfs-cash-flow-statement'!$C$22</f>
        <v>40</v>
      </c>
      <c r="I130" s="80">
        <f>I94-H94</f>
        <v>-18.696333025679621</v>
      </c>
      <c r="J130" s="63">
        <f t="shared" ref="J130:M130" si="118">J94-I94</f>
        <v>-2.5145030586443227</v>
      </c>
      <c r="K130" s="63">
        <f t="shared" si="118"/>
        <v>11.897171791242897</v>
      </c>
      <c r="L130" s="63">
        <f t="shared" si="118"/>
        <v>22.375734628166697</v>
      </c>
      <c r="M130" s="63">
        <f t="shared" si="118"/>
        <v>9.9416063912340746</v>
      </c>
    </row>
    <row r="131" spans="2:13" x14ac:dyDescent="0.25">
      <c r="B131" s="13" t="s">
        <v>73</v>
      </c>
      <c r="C131" s="8"/>
      <c r="D131" s="19">
        <v>17.855</v>
      </c>
      <c r="E131" s="19">
        <f>('[1]cfs-cash-flow-statement'!$D$22)/1000</f>
        <v>31.035</v>
      </c>
      <c r="F131" s="19">
        <f>('[1]cfs-cash-flow-statement'!$C$22)/1000</f>
        <v>-33.264000000000003</v>
      </c>
      <c r="G131" s="19">
        <v>-15</v>
      </c>
      <c r="H131" s="19">
        <f>'[2]cfs-cash-flow-statement'!$C$23</f>
        <v>1</v>
      </c>
      <c r="I131" s="90">
        <f>(H80-I80)+(I96-H96)</f>
        <v>12.610499999999945</v>
      </c>
      <c r="J131" s="92">
        <f t="shared" ref="J131:M131" si="119">(I80-J80)+(J96-I96)</f>
        <v>7.8626520000000255</v>
      </c>
      <c r="K131" s="92">
        <f t="shared" si="119"/>
        <v>7.7158824959999208</v>
      </c>
      <c r="L131" s="92">
        <f t="shared" si="119"/>
        <v>7.5501587589120334</v>
      </c>
      <c r="M131" s="92">
        <f t="shared" si="119"/>
        <v>7.0147838650982521</v>
      </c>
    </row>
    <row r="132" spans="2:13" x14ac:dyDescent="0.25">
      <c r="B132" s="12" t="s">
        <v>78</v>
      </c>
      <c r="D132" s="62">
        <f>SUM(D126:D131)</f>
        <v>510.56300000000005</v>
      </c>
      <c r="E132" s="62">
        <f>SUM(E126:E131)</f>
        <v>723.80400000000009</v>
      </c>
      <c r="F132" s="62">
        <f>SUM(F126:F131)</f>
        <v>409.95300000000009</v>
      </c>
      <c r="G132" s="62">
        <f>SUM(G126:G131)</f>
        <v>606</v>
      </c>
      <c r="H132" s="62">
        <f>SUM(H126:H131)</f>
        <v>630</v>
      </c>
      <c r="I132" s="94">
        <f t="shared" ref="I132:M132" si="120">SUM(I126:I131)</f>
        <v>638.4614124171726</v>
      </c>
      <c r="J132" s="62">
        <f t="shared" si="120"/>
        <v>574.11103744181446</v>
      </c>
      <c r="K132" s="62">
        <f t="shared" si="120"/>
        <v>515.77123870519858</v>
      </c>
      <c r="L132" s="62">
        <f t="shared" si="120"/>
        <v>565.96873922536633</v>
      </c>
      <c r="M132" s="62">
        <f t="shared" si="120"/>
        <v>593.67967170994962</v>
      </c>
    </row>
    <row r="133" spans="2:13" x14ac:dyDescent="0.25">
      <c r="I133" s="44"/>
    </row>
    <row r="134" spans="2:13" x14ac:dyDescent="0.25">
      <c r="B134" s="60" t="s">
        <v>74</v>
      </c>
      <c r="C134" s="35"/>
      <c r="D134" s="35"/>
      <c r="E134" s="35"/>
      <c r="F134" s="35"/>
      <c r="G134" s="35"/>
      <c r="H134" s="35"/>
      <c r="I134" s="47"/>
      <c r="J134" s="35"/>
      <c r="K134" s="35"/>
      <c r="L134" s="35"/>
      <c r="M134" s="35"/>
    </row>
    <row r="135" spans="2:13" x14ac:dyDescent="0.25">
      <c r="I135" s="44"/>
    </row>
    <row r="136" spans="2:13" x14ac:dyDescent="0.25">
      <c r="B136" s="14" t="s">
        <v>76</v>
      </c>
      <c r="D136" s="19">
        <v>-279.75599999999997</v>
      </c>
      <c r="E136" s="19">
        <f>('[1]cfs-cash-flow-statement'!$D$26)/1000</f>
        <v>-352.57299999999998</v>
      </c>
      <c r="F136" s="19">
        <f>('[1]cfs-cash-flow-statement'!$C$26)/1000</f>
        <v>-271.58999999999997</v>
      </c>
      <c r="G136" s="19">
        <f>'[2]cfs-cash-flow-statement'!$D$27</f>
        <v>-312</v>
      </c>
      <c r="H136" s="19">
        <f>'[2]cfs-cash-flow-statement'!$C$27</f>
        <v>-281</v>
      </c>
      <c r="I136" s="80">
        <f>-1*I68</f>
        <v>-327.6105</v>
      </c>
      <c r="J136" s="63">
        <f t="shared" ref="J136:M136" si="121">-1*J68</f>
        <v>-335.47315199999997</v>
      </c>
      <c r="K136" s="63">
        <f t="shared" si="121"/>
        <v>-343.18903449599992</v>
      </c>
      <c r="L136" s="63">
        <f t="shared" si="121"/>
        <v>-350.73919325491192</v>
      </c>
      <c r="M136" s="63">
        <f t="shared" si="121"/>
        <v>-357.75397712001023</v>
      </c>
    </row>
    <row r="137" spans="2:13" x14ac:dyDescent="0.25">
      <c r="B137" s="14" t="s">
        <v>91</v>
      </c>
      <c r="D137" s="19">
        <v>52.932000000000002</v>
      </c>
      <c r="E137" s="19">
        <f>('[1]cfs-cash-flow-statement'!$D$25)/1000</f>
        <v>65.427999999999997</v>
      </c>
      <c r="F137" s="19">
        <f>('[1]cfs-cash-flow-statement'!$C$25)/1000</f>
        <v>35.161999999999999</v>
      </c>
      <c r="G137" s="19">
        <f>'[2]cfs-cash-flow-statement'!$D$26</f>
        <v>15</v>
      </c>
      <c r="H137" s="19">
        <v>24</v>
      </c>
      <c r="I137" s="98" t="s">
        <v>93</v>
      </c>
      <c r="J137" s="65" t="s">
        <v>93</v>
      </c>
      <c r="K137" s="65" t="s">
        <v>93</v>
      </c>
      <c r="L137" s="65" t="s">
        <v>93</v>
      </c>
      <c r="M137" s="65" t="s">
        <v>93</v>
      </c>
    </row>
    <row r="138" spans="2:13" x14ac:dyDescent="0.25">
      <c r="B138" s="14" t="s">
        <v>92</v>
      </c>
      <c r="D138" s="19">
        <v>-464.73</v>
      </c>
      <c r="E138" s="19">
        <f>('[1]cfs-cash-flow-statement'!$D$30)/1000</f>
        <v>-52.447000000000003</v>
      </c>
      <c r="F138" s="19">
        <f>('[1]cfs-cash-flow-statement'!$C$30)/1000</f>
        <v>-63.414999999999999</v>
      </c>
      <c r="G138" s="19">
        <f>'[2]cfs-cash-flow-statement'!$D$31</f>
        <v>-634</v>
      </c>
      <c r="H138" s="19">
        <f>'[2]cfs-cash-flow-statement'!$C$31</f>
        <v>-24</v>
      </c>
      <c r="I138" s="98" t="s">
        <v>93</v>
      </c>
      <c r="J138" s="65" t="s">
        <v>93</v>
      </c>
      <c r="K138" s="65" t="s">
        <v>93</v>
      </c>
      <c r="L138" s="65" t="s">
        <v>93</v>
      </c>
      <c r="M138" s="65" t="s">
        <v>93</v>
      </c>
    </row>
    <row r="139" spans="2:13" x14ac:dyDescent="0.25">
      <c r="B139" s="13" t="s">
        <v>77</v>
      </c>
      <c r="C139" s="8"/>
      <c r="D139" s="19">
        <f>(-2406+2705+15642+8909)/1000</f>
        <v>24.85</v>
      </c>
      <c r="E139" s="19">
        <f>('[1]cfs-cash-flow-statement'!$D$28+'[1]cfs-cash-flow-statement'!$D$29+'[1]cfs-cash-flow-statement'!$D$31)/1000</f>
        <v>6.7949999999999999</v>
      </c>
      <c r="F139" s="19">
        <f>('[1]cfs-cash-flow-statement'!$C$29+'[1]cfs-cash-flow-statement'!$C$28+'[1]cfs-cash-flow-statement'!$C$27)/1000</f>
        <v>-23.111999999999998</v>
      </c>
      <c r="G139" s="19">
        <v>1</v>
      </c>
      <c r="H139" s="19">
        <f>'[2]cfs-cash-flow-statement'!$C$30+'[2]cfs-cash-flow-statement'!$C$29</f>
        <v>46</v>
      </c>
      <c r="I139" s="98" t="s">
        <v>93</v>
      </c>
      <c r="J139" s="99" t="s">
        <v>93</v>
      </c>
      <c r="K139" s="99" t="s">
        <v>93</v>
      </c>
      <c r="L139" s="99" t="s">
        <v>93</v>
      </c>
      <c r="M139" s="65" t="s">
        <v>93</v>
      </c>
    </row>
    <row r="140" spans="2:13" x14ac:dyDescent="0.25">
      <c r="B140" s="12" t="s">
        <v>79</v>
      </c>
      <c r="D140" s="62">
        <f>SUM(D136:D139)</f>
        <v>-666.70399999999995</v>
      </c>
      <c r="E140" s="62">
        <f>SUM(E136:E139)</f>
        <v>-332.79699999999997</v>
      </c>
      <c r="F140" s="62">
        <f>SUM(F136:F139)</f>
        <v>-322.95499999999998</v>
      </c>
      <c r="G140" s="62">
        <f>SUM(G136:G139)</f>
        <v>-930</v>
      </c>
      <c r="H140" s="62">
        <f>SUM(H136:H139)</f>
        <v>-235</v>
      </c>
      <c r="I140" s="94">
        <f t="shared" ref="I140:M140" si="122">SUM(I136:I139)</f>
        <v>-327.6105</v>
      </c>
      <c r="J140" s="54">
        <f t="shared" si="122"/>
        <v>-335.47315199999997</v>
      </c>
      <c r="K140" s="54">
        <f t="shared" si="122"/>
        <v>-343.18903449599992</v>
      </c>
      <c r="L140" s="54">
        <f t="shared" si="122"/>
        <v>-350.73919325491192</v>
      </c>
      <c r="M140" s="62">
        <f t="shared" si="122"/>
        <v>-357.75397712001023</v>
      </c>
    </row>
    <row r="141" spans="2:13" x14ac:dyDescent="0.25">
      <c r="B141" s="12"/>
      <c r="I141" s="44"/>
    </row>
    <row r="142" spans="2:13" x14ac:dyDescent="0.25">
      <c r="B142" s="60" t="s">
        <v>80</v>
      </c>
      <c r="C142" s="35"/>
      <c r="D142" s="35"/>
      <c r="E142" s="35"/>
      <c r="F142" s="35"/>
      <c r="G142" s="35"/>
      <c r="H142" s="35"/>
      <c r="I142" s="47"/>
      <c r="J142" s="35"/>
      <c r="K142" s="35"/>
      <c r="L142" s="35"/>
      <c r="M142" s="35"/>
    </row>
    <row r="143" spans="2:13" x14ac:dyDescent="0.25">
      <c r="I143" s="44"/>
    </row>
    <row r="144" spans="2:13" x14ac:dyDescent="0.25">
      <c r="B144" s="14" t="s">
        <v>116</v>
      </c>
      <c r="D144" s="19">
        <v>575.13400000000001</v>
      </c>
      <c r="E144" s="19">
        <v>132.166</v>
      </c>
      <c r="F144" s="19">
        <v>880.67</v>
      </c>
      <c r="G144" s="19">
        <f>'[2]cfs-cash-flow-statement'!$D$35</f>
        <v>1117</v>
      </c>
      <c r="H144" s="19">
        <f>'[2]cfs-cash-flow-statement'!$C$35</f>
        <v>254</v>
      </c>
      <c r="I144" s="80">
        <f>H100*I30</f>
        <v>585.34</v>
      </c>
      <c r="J144" s="63">
        <f>I100*J30</f>
        <v>556.07299999999998</v>
      </c>
      <c r="K144" s="63">
        <f>J100*K30</f>
        <v>528.26935000000003</v>
      </c>
      <c r="L144" s="63">
        <f>K100*L30</f>
        <v>501.85588250000006</v>
      </c>
      <c r="M144" s="63">
        <f>L100*M30</f>
        <v>476.76308837500005</v>
      </c>
    </row>
    <row r="145" spans="2:13" x14ac:dyDescent="0.25">
      <c r="B145" s="14" t="s">
        <v>117</v>
      </c>
      <c r="D145" s="19">
        <v>-510.59</v>
      </c>
      <c r="E145" s="19">
        <v>-283.64299999999997</v>
      </c>
      <c r="F145" s="19">
        <v>-721.04600000000005</v>
      </c>
      <c r="G145" s="19">
        <f>'[2]cfs-cash-flow-statement'!$D$36+'[2]cfs-cash-flow-statement'!$D$37</f>
        <v>-817</v>
      </c>
      <c r="H145" s="19">
        <f>'[2]cfs-cash-flow-statement'!$C$36+'[2]cfs-cash-flow-statement'!$C$37</f>
        <v>-533</v>
      </c>
      <c r="I145" s="80">
        <f>-(I144+H100*I29)</f>
        <v>-664.44</v>
      </c>
      <c r="J145" s="63">
        <f>-(J144+I100*J29)</f>
        <v>-631.21799999999996</v>
      </c>
      <c r="K145" s="63">
        <f>-(K144+J100*K29)</f>
        <v>-599.65710000000001</v>
      </c>
      <c r="L145" s="63">
        <f>-(L144+K100*L29)</f>
        <v>-569.67424500000004</v>
      </c>
      <c r="M145" s="63">
        <f>-(M144+L100*M29)</f>
        <v>-541.1905327500001</v>
      </c>
    </row>
    <row r="146" spans="2:13" x14ac:dyDescent="0.25">
      <c r="D146" s="19"/>
      <c r="E146" s="19"/>
      <c r="F146" s="19"/>
      <c r="G146" s="19"/>
      <c r="H146" s="19"/>
      <c r="I146" s="44"/>
    </row>
    <row r="147" spans="2:13" x14ac:dyDescent="0.25">
      <c r="B147" s="14" t="s">
        <v>81</v>
      </c>
      <c r="D147" s="19">
        <v>-67.358999999999995</v>
      </c>
      <c r="E147" s="19">
        <f>('[1]cfs-cash-flow-statement'!$D$38)/1000</f>
        <v>-83.870999999999995</v>
      </c>
      <c r="F147" s="19">
        <f>('[1]cfs-cash-flow-statement'!$C$38)/1000</f>
        <v>-94.847999999999999</v>
      </c>
      <c r="G147" s="19">
        <f>'[2]cfs-cash-flow-statement'!$D$38</f>
        <v>-100</v>
      </c>
      <c r="H147" s="19">
        <f>'[2]cfs-cash-flow-statement'!$C$38</f>
        <v>-104</v>
      </c>
      <c r="I147" s="80">
        <f>-1*(I55*I28)</f>
        <v>-93.424639826655465</v>
      </c>
      <c r="J147" s="63">
        <f t="shared" ref="J147:M147" si="123">-1*(J55*J28)</f>
        <v>-99.792108699895593</v>
      </c>
      <c r="K147" s="63">
        <f t="shared" si="123"/>
        <v>-92.364251661925977</v>
      </c>
      <c r="L147" s="63">
        <f t="shared" si="123"/>
        <v>-88.423667550661918</v>
      </c>
      <c r="M147" s="63">
        <f t="shared" si="123"/>
        <v>-89.790834788394051</v>
      </c>
    </row>
    <row r="148" spans="2:13" x14ac:dyDescent="0.25">
      <c r="B148" s="14" t="s">
        <v>82</v>
      </c>
      <c r="D148" s="19">
        <v>80.561000000000007</v>
      </c>
      <c r="E148" s="19">
        <f>('[1]cfs-cash-flow-statement'!$D$39)/1000</f>
        <v>-213.44499999999999</v>
      </c>
      <c r="F148" s="19">
        <f>('[1]cfs-cash-flow-statement'!$C$39)/1000</f>
        <v>-26.018000000000001</v>
      </c>
      <c r="G148" s="19">
        <f>'[2]cfs-cash-flow-statement'!$D$41</f>
        <v>-34</v>
      </c>
      <c r="H148" s="19">
        <f>'[2]cfs-cash-flow-statement'!$C$41</f>
        <v>-29</v>
      </c>
      <c r="I148" s="98" t="s">
        <v>93</v>
      </c>
      <c r="J148" s="65" t="s">
        <v>93</v>
      </c>
      <c r="K148" s="65" t="s">
        <v>93</v>
      </c>
      <c r="L148" s="65" t="s">
        <v>93</v>
      </c>
      <c r="M148" s="65" t="s">
        <v>93</v>
      </c>
    </row>
    <row r="149" spans="2:13" x14ac:dyDescent="0.25">
      <c r="B149" s="13" t="s">
        <v>83</v>
      </c>
      <c r="C149" s="8"/>
      <c r="D149" s="19">
        <v>-225.36199999999999</v>
      </c>
      <c r="E149" s="19">
        <v>0</v>
      </c>
      <c r="F149" s="19">
        <v>0</v>
      </c>
      <c r="G149" s="19">
        <v>-4</v>
      </c>
      <c r="H149" s="19">
        <f>'[2]cfs-cash-flow-statement'!$C$40+'[2]cfs-cash-flow-statement'!$C$39</f>
        <v>-27</v>
      </c>
      <c r="I149" s="98" t="s">
        <v>93</v>
      </c>
      <c r="J149" s="99" t="s">
        <v>93</v>
      </c>
      <c r="K149" s="99" t="s">
        <v>93</v>
      </c>
      <c r="L149" s="99" t="s">
        <v>93</v>
      </c>
      <c r="M149" s="99" t="s">
        <v>93</v>
      </c>
    </row>
    <row r="150" spans="2:13" x14ac:dyDescent="0.25">
      <c r="B150" s="12" t="s">
        <v>84</v>
      </c>
      <c r="D150" s="62">
        <f>SUM(D144:D149)</f>
        <v>-147.61599999999993</v>
      </c>
      <c r="E150" s="62">
        <f>SUM(E144:E149)</f>
        <v>-448.79299999999995</v>
      </c>
      <c r="F150" s="62">
        <f>SUM(F144:F149)</f>
        <v>38.75799999999991</v>
      </c>
      <c r="G150" s="62">
        <f>SUM(G144:G149)</f>
        <v>162</v>
      </c>
      <c r="H150" s="62">
        <f>SUM(H144:H149)</f>
        <v>-439</v>
      </c>
      <c r="I150" s="94">
        <f t="shared" ref="I150:M150" si="124">SUM(I144:I149)</f>
        <v>-172.52463982665549</v>
      </c>
      <c r="J150" s="62">
        <f t="shared" si="124"/>
        <v>-174.93710869989559</v>
      </c>
      <c r="K150" s="62">
        <f t="shared" si="124"/>
        <v>-163.75200166192596</v>
      </c>
      <c r="L150" s="62">
        <f t="shared" si="124"/>
        <v>-156.2420300506619</v>
      </c>
      <c r="M150" s="62">
        <f t="shared" si="124"/>
        <v>-154.2182791633941</v>
      </c>
    </row>
    <row r="151" spans="2:13" x14ac:dyDescent="0.25">
      <c r="I151" s="44"/>
    </row>
    <row r="152" spans="2:13" x14ac:dyDescent="0.25">
      <c r="B152" s="12" t="s">
        <v>87</v>
      </c>
      <c r="D152" s="17">
        <f>D132+D140+D150</f>
        <v>-303.75699999999983</v>
      </c>
      <c r="E152" s="17">
        <f>E132+E140+E150</f>
        <v>-57.785999999999831</v>
      </c>
      <c r="F152" s="17">
        <f>F132+F140+F150</f>
        <v>125.75600000000001</v>
      </c>
      <c r="G152" s="17">
        <f>G132+G140+G150</f>
        <v>-162</v>
      </c>
      <c r="H152" s="17">
        <f>H132+H140+H150</f>
        <v>-44</v>
      </c>
      <c r="I152" s="42">
        <f t="shared" ref="I152:M152" si="125">I132+I140+I150</f>
        <v>138.32627259051711</v>
      </c>
      <c r="J152" s="17">
        <f t="shared" si="125"/>
        <v>63.700776741918901</v>
      </c>
      <c r="K152" s="17">
        <f t="shared" si="125"/>
        <v>8.8302025472727053</v>
      </c>
      <c r="L152" s="17">
        <f t="shared" si="125"/>
        <v>58.987515919792514</v>
      </c>
      <c r="M152" s="17">
        <f t="shared" si="125"/>
        <v>81.707415426545282</v>
      </c>
    </row>
    <row r="153" spans="2:13" x14ac:dyDescent="0.25">
      <c r="B153" s="14" t="s">
        <v>88</v>
      </c>
      <c r="D153" s="19">
        <v>1.9159999999999999</v>
      </c>
      <c r="E153" s="19">
        <f>('[1]cfs-cash-flow-statement'!$D$43)/1000</f>
        <v>-6.4000000000000001E-2</v>
      </c>
      <c r="F153" s="19">
        <f>('[1]cfs-cash-flow-statement'!$C$43)/1000</f>
        <v>-8.7200000000000006</v>
      </c>
      <c r="G153" s="19">
        <v>0</v>
      </c>
      <c r="H153" s="19">
        <f>'[2]cfs-cash-flow-statement'!$C$45</f>
        <v>-4</v>
      </c>
      <c r="I153" s="98" t="s">
        <v>93</v>
      </c>
      <c r="J153" s="65" t="s">
        <v>93</v>
      </c>
      <c r="K153" s="65" t="s">
        <v>93</v>
      </c>
      <c r="L153" s="65" t="s">
        <v>93</v>
      </c>
      <c r="M153" s="65" t="s">
        <v>93</v>
      </c>
    </row>
    <row r="154" spans="2:13" x14ac:dyDescent="0.25">
      <c r="B154" s="61" t="s">
        <v>89</v>
      </c>
      <c r="C154" s="8"/>
      <c r="D154" s="19">
        <v>666.14800000000002</v>
      </c>
      <c r="E154" s="19">
        <f>D155</f>
        <v>364.30700000000019</v>
      </c>
      <c r="F154" s="19">
        <f t="shared" ref="F154:M154" si="126">E155</f>
        <v>306.45700000000033</v>
      </c>
      <c r="G154" s="19">
        <f t="shared" si="126"/>
        <v>423.49300000000034</v>
      </c>
      <c r="H154" s="19">
        <f t="shared" si="126"/>
        <v>261.49300000000034</v>
      </c>
      <c r="I154" s="93">
        <f>H77</f>
        <v>213</v>
      </c>
      <c r="J154" s="19">
        <f t="shared" si="126"/>
        <v>351.32627259051708</v>
      </c>
      <c r="K154" s="19">
        <f t="shared" si="126"/>
        <v>415.02704933243598</v>
      </c>
      <c r="L154" s="19">
        <f t="shared" si="126"/>
        <v>423.85725187970866</v>
      </c>
      <c r="M154" s="19">
        <f t="shared" si="126"/>
        <v>482.84476779950114</v>
      </c>
    </row>
    <row r="155" spans="2:13" ht="15.75" thickBot="1" x14ac:dyDescent="0.3">
      <c r="B155" s="48" t="s">
        <v>90</v>
      </c>
      <c r="C155" s="31"/>
      <c r="D155" s="56">
        <f>SUM(D152:D154)</f>
        <v>364.30700000000019</v>
      </c>
      <c r="E155" s="56">
        <f>SUM(E152:E154)</f>
        <v>306.45700000000033</v>
      </c>
      <c r="F155" s="56">
        <f>SUM(F152:F154)</f>
        <v>423.49300000000034</v>
      </c>
      <c r="G155" s="56">
        <f>SUM(G152:G154)</f>
        <v>261.49300000000034</v>
      </c>
      <c r="H155" s="56">
        <f>SUM(H152:H154)</f>
        <v>213.49300000000034</v>
      </c>
      <c r="I155" s="96">
        <f t="shared" ref="I155:M155" si="127">SUM(I152:I154)</f>
        <v>351.32627259051708</v>
      </c>
      <c r="J155" s="56">
        <f t="shared" si="127"/>
        <v>415.02704933243598</v>
      </c>
      <c r="K155" s="56">
        <f t="shared" si="127"/>
        <v>423.85725187970866</v>
      </c>
      <c r="L155" s="56">
        <f t="shared" si="127"/>
        <v>482.84476779950114</v>
      </c>
      <c r="M155" s="56">
        <f t="shared" si="127"/>
        <v>564.5521832260464</v>
      </c>
    </row>
    <row r="156" spans="2:13" ht="15.75" thickTop="1" x14ac:dyDescent="0.25"/>
    <row r="157" spans="2:13" x14ac:dyDescent="0.25">
      <c r="D157" s="63"/>
    </row>
    <row r="158" spans="2:13" x14ac:dyDescent="0.25">
      <c r="D158" s="6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Weinerberger - 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2026-06-23T21:41:45Z</dcterms:created>
  <dcterms:modified xsi:type="dcterms:W3CDTF">2026-06-25T15:19:56Z</dcterms:modified>
</cp:coreProperties>
</file>